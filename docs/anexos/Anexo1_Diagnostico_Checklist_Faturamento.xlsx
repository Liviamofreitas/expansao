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_ME" sheetId="1" state="visible" r:id="rId3"/>
    <sheet name="DIAGNOSTICO" sheetId="2" state="visible" r:id="rId4"/>
    <sheet name="CATALOGO_DOCUMENTOS" sheetId="3" state="visible" r:id="rId5"/>
    <sheet name="MATRIZ_EXIGIBILIDADE" sheetId="4" state="visible" r:id="rId6"/>
    <sheet name="DIVERGENCIAS_POR_LINHA" sheetId="5" state="visible" r:id="rId7"/>
    <sheet name="COBERTURA" sheetId="6" state="visible" r:id="rId8"/>
    <sheet name="REGRAS_CONCILIACAO" sheetId="7" state="visible" r:id="rId9"/>
    <sheet name="CAMPOS_A_CRIAR"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<sst xmlns="http://schemas.openxmlformats.org/spreadsheetml/2006/main" count="4718" uniqueCount="838">
  <si>
    <t xml:space="preserve">Diagnóstico e normalização do checklist de faturamento</t>
  </si>
  <si>
    <t xml:space="preserve">Origem</t>
  </si>
  <si>
    <t xml:space="preserve">Arquivo "F2_Preenchimento_checklist - FINANCEIRO_DP_OPERAÇÃO_DOCUMENTAÇÃO_FATURAMENTO", enviado pela DAF.</t>
  </si>
  <si>
    <t xml:space="preserve">Base analisada</t>
  </si>
  <si>
    <t xml:space="preserve">176 linhas úteis, 8 contratos (BNB, CEF, DOCAS, SEFAZ RS, SESCOOP, TERRACAP, TJ CE, Telebrás), 3 áreas responsáveis.</t>
  </si>
  <si>
    <t xml:space="preserve">Objetivo</t>
  </si>
  <si>
    <t xml:space="preserve">Transformar o checklist atual em uma matriz de exigibilidade computável, que possa ser lida por um sistema de conferência automática de documentação de faturamento.</t>
  </si>
  <si>
    <t xml:space="preserve">O que foi feito</t>
  </si>
  <si>
    <t xml:space="preserve">1) Catálogo canônico de tipos documentais, consolidando 69 nomenclaturas distintas em 51 tipos reais.
2) Normalização das 176 linhas contra esse catálogo.
3) Detecção automática de divergências (duplicidade, competência incoerente, campo em branco, pasta incompatível, linha composta).
4) Proposta dos campos que faltam no checklist para viabilizar a automação.</t>
  </si>
  <si>
    <t xml:space="preserve">Como usar</t>
  </si>
  <si>
    <t xml:space="preserve">Revisar as abas na ordem: DIAGNOSTICO → CATALOGO_DOCUMENTOS → MATRIZ_EXIGIBILIDADE → DIVERGENCIAS_POR_LINHA. As células em AMARELO são decisões que dependem da área de negócio e não podem ser inferidas do arquivo.</t>
  </si>
  <si>
    <t xml:space="preserve">Status</t>
  </si>
  <si>
    <t xml:space="preserve">Documento de trabalho. Nenhuma conclusão aqui substitui a leitura do edital/contrato de cada cliente.</t>
  </si>
  <si>
    <t xml:space="preserve">PREMISSAS ADOTADAS</t>
  </si>
  <si>
    <t xml:space="preserve">P1</t>
  </si>
  <si>
    <t xml:space="preserve">FGTS, DCTFWeb/DARF e INSS de uma competência são recolhidos no mês seguinte; portanto a competência-referência desses documentos é sempre M-1. Divergências no arquivo foram sinalizadas com base nessa regra.</t>
  </si>
  <si>
    <t xml:space="preserve">P2</t>
  </si>
  <si>
    <t xml:space="preserve">Contratos públicos: a exigência documental decorre do edital/contrato e do art. 121 da Lei 14.133/2021 (responsabilidade subsidiária). O campo "PREVISÃO = Edital" não identifica a cláusula — isso foi marcado como lacuna.</t>
  </si>
  <si>
    <t xml:space="preserve">P3</t>
  </si>
  <si>
    <t xml:space="preserve">A criticidade sugerida ("Bloqueante" / "Não bloqueante") é proposta técnica e precisa ser validada contrato a contrato antes de virar regra de bloqueio no sistema.</t>
  </si>
  <si>
    <t xml:space="preserve">P4</t>
  </si>
  <si>
    <t xml:space="preserve">Granularidade (por contrato x por profissional) foi inferida da natureza do documento, não do arquivo original, que não possui esse campo.</t>
  </si>
  <si>
    <t xml:space="preserve">P5</t>
  </si>
  <si>
    <t xml:space="preserve">Nenhum dado pessoal de colaborador foi utilizado: o arquivo contém apenas metadados de tipos documentais.</t>
  </si>
  <si>
    <t xml:space="preserve">LEGENDA</t>
  </si>
  <si>
    <t xml:space="preserve">Amarelo</t>
  </si>
  <si>
    <t xml:space="preserve">Campo a preencher/decidir pela área de negócio</t>
  </si>
  <si>
    <t xml:space="preserve">Laranja</t>
  </si>
  <si>
    <t xml:space="preserve">Divergência que impede a automação enquanto não for corrigida</t>
  </si>
  <si>
    <t xml:space="preserve">Verde</t>
  </si>
  <si>
    <t xml:space="preserve">Campo derivado da normalização, já preenchido</t>
  </si>
  <si>
    <t xml:space="preserve">ID</t>
  </si>
  <si>
    <t xml:space="preserve">Severidade</t>
  </si>
  <si>
    <t xml:space="preserve">Achado</t>
  </si>
  <si>
    <t xml:space="preserve">Evidência no arquivo</t>
  </si>
  <si>
    <t xml:space="preserve">Impacto no faturamento</t>
  </si>
  <si>
    <t xml:space="preserve">Ação recomendada</t>
  </si>
  <si>
    <t xml:space="preserve">D01</t>
  </si>
  <si>
    <t xml:space="preserve">Crítica</t>
  </si>
  <si>
    <t xml:space="preserve">A nomenclatura não é chave confiável: 69 códigos para 51 tipos reais</t>
  </si>
  <si>
    <t xml:space="preserve">CND_CIVEL_E_CRIMINAL / CND_CÍVEL_E_CRIMINAL; RECIBO_DE_FERIAS / RECIBO_DE_FÉRIAS; COMPROVANTE_PG_RECSISÃO (erro de digitação); "NOTA _FISCAL" com espaço; GFD_GUIA_DO_FGTS / GFD-GUIA_DO_FGTS / GUIA_GFD / FGTS-DETALHE_DA_GUIA.</t>
  </si>
  <si>
    <t xml:space="preserve">Qualquer varredura automática de pastas por nome de arquivo falha ou gera falso "documento ausente".</t>
  </si>
  <si>
    <t xml:space="preserve">Adotar o catálogo canônico da aba CATALOGO_DOCUMENTOS como chave única, com os nomes atuais registrados como sinônimos (aliases) para reconhecimento do legado.</t>
  </si>
  <si>
    <t xml:space="preserve">D02</t>
  </si>
  <si>
    <t xml:space="preserve">Falta a dimensão "evento" (mensal, 13º, férias, rescisão, admissão)</t>
  </si>
  <si>
    <t xml:space="preserve">TJ CE usa GFD_GUIA_DO_FGTS e DCTFWEB_DARF duas vezes — uma para a folha mensal e outra para o 13º — distinguíveis apenas pelo nome da pasta. SESCOOP usa GFD_GUIA_DO_FGTS para dois documentos diferentes ("Guia FGTS" e "FGTS Digital - Relatórios").</t>
  </si>
  <si>
    <t xml:space="preserve">O sistema não consegue saber qual documento satisfaz qual exigência; o 13º e a folha mensal competem pela mesma linha do checklist.</t>
  </si>
  <si>
    <t xml:space="preserve">Criar campo EVENTO. A chave da exigência passa a ser: contrato + tipo canônico + evento + competência (+ profissional, quando individual).</t>
  </si>
  <si>
    <t xml:space="preserve">D03</t>
  </si>
  <si>
    <t xml:space="preserve">Competência-referência incoerente entre contratos para o mesmo documento</t>
  </si>
  <si>
    <t xml:space="preserve">8 linhas divergentes. COMPROVANTE_PG_FGTS e COMPROVANTE_PG_INSS constam como "Competência Anterior" em BNB, CEF, DOCAS e SESCOOP, mas como "Mês da Competência" em TJ CE. GFD_GUIA_DO_FGTS consta como "Mês da Competência" em BNB e DOCAS.</t>
  </si>
  <si>
    <t xml:space="preserve">O motor de conferência buscaria a guia da competência errada: cobra documento que ainda não existe ou aceita documento de mês indevido. Fonte direta de glosa.</t>
  </si>
  <si>
    <t xml:space="preserve">A defasagem é atributo do documento (obrigação legal), não do contrato. Fixar no catálogo: guia/DARF/comprovante de FGTS, INSS e IRRF = M-1. Corrigir as 8 linhas.</t>
  </si>
  <si>
    <t xml:space="preserve">D04</t>
  </si>
  <si>
    <t xml:space="preserve">Alta</t>
  </si>
  <si>
    <t xml:space="preserve">Duplicidades e linhas concorrentes dentro do mesmo contrato</t>
  </si>
  <si>
    <t xml:space="preserve">9 grupos: DOCAS tem CRF_FGTS duas vezes; TJ CE tem recibo e comprovante de férias duplicados com grafias diferentes; CEF e TJ CE têm o comprovante de rescisão em duas linhas, em pastas diferentes (RESCISÃO e OPERAÇÃO).</t>
  </si>
  <si>
    <t xml:space="preserve">Contagem de completude inflada e conferência em duplicidade pela equipe.</t>
  </si>
  <si>
    <t xml:space="preserve">Consolidar; manter uma linha por (contrato + tipo + evento).</t>
  </si>
  <si>
    <t xml:space="preserve">D05</t>
  </si>
  <si>
    <t xml:space="preserve">Linhas compostas: uma linha descreve mais de um artefato</t>
  </si>
  <si>
    <t xml:space="preserve">"VALE TRANSPORTE E COMPROVANTE DE PAGAMENTO OU TERMO DE NÃO ADESÃO" (3 artefatos + condicional); "CÓPIA DA DCTFWEB COMPLETO, RESPECTIVO DARF E COMPROVANTE DE PAGAMENTO" (3 artefatos); "VALE ALIMENTAÇÃO E COMPROVANTE DE PAGAMENTO".</t>
  </si>
  <si>
    <t xml:space="preserve">Não é possível marcar entrega parcial nem saber o que exatamente está faltando.</t>
  </si>
  <si>
    <t xml:space="preserve">Quebrar em uma linha por artefato e, para os condicionais, criar regra "A OU B" explícita.</t>
  </si>
  <si>
    <t xml:space="preserve">D06</t>
  </si>
  <si>
    <t xml:space="preserve">Prazo em texto livre, não computável</t>
  </si>
  <si>
    <t xml:space="preserve">17 variantes para cerca de 10 regras: "ATÉ DIA 21" / "DIA 21" / "ATÉ O DIA 21"; "ATÉ O 5º DIA ÚTIL" / "5º DIA UTIL"; "10º dia útil" / "Até o 9º dia útil".</t>
  </si>
  <si>
    <t xml:space="preserve">Impossível calcular atraso, disparar alerta automático ou medir SLA por área.</t>
  </si>
  <si>
    <t xml:space="preserve">Estruturar em: âncora (início da competência / ateste / evento) + tipo de dia (útil/corrido) + limite. Já pré-preenchido na MATRIZ_EXIGIBILIDADE.</t>
  </si>
  <si>
    <t xml:space="preserve">D07</t>
  </si>
  <si>
    <t xml:space="preserve">Campos obrigatórios em branco no bloco mais recente</t>
  </si>
  <si>
    <t xml:space="preserve">PREVISÃO em branco em 28 linhas; periodicidade em branco em 26; 3 linhas sem contrato de origem (COMPROVANTE_PG_VT, COMPROVANTE_PG_VA_VR e XML) e sem descrição.</t>
  </si>
  <si>
    <t xml:space="preserve">As linhas órfãs se perdem em qualquer exportação; hoje só fazem sentido por herança visual da célula mesclada na planilha.</t>
  </si>
  <si>
    <t xml:space="preserve">Completar antes da carga inicial. Tornar os campos obrigatórios no cadastro do sistema.</t>
  </si>
  <si>
    <t xml:space="preserve">D08</t>
  </si>
  <si>
    <t xml:space="preserve">Seis nomes diferentes para o artefato que dispara o relógio D+3</t>
  </si>
  <si>
    <t xml:space="preserve">AUTORIZAÇÃO_DE_FATURAMENTO, E-MAIL_AUTORIZAÇÃO_EMISSÃO_NF (duas grafias), TERMO_DE_RECEBIMENTO, TRD, além de relatórios/planilhas de medição com quatro nomes.</t>
  </si>
  <si>
    <t xml:space="preserve">A política institucional fixa "NF em até D+3 após o ateste formal", mas não existe um evento único e datado de ateste no checklist. O KPI não é apurável de forma objetiva.</t>
  </si>
  <si>
    <t xml:space="preserve">Criar o evento "ATESTE_REGISTRADO" com data, forma (sistema/e-mail/despacho) e evidência anexa. É o marco zero do D+3 e a base de todos os indicadores da política.</t>
  </si>
  <si>
    <t xml:space="preserve">D09</t>
  </si>
  <si>
    <t xml:space="preserve">Ausência de encargos e benefícios em três contratos</t>
  </si>
  <si>
    <t xml:space="preserve">TERRACAP, Telebrás e SEFAZ RS não têm nenhuma linha de folha, FGTS, INSS ou benefícios — apenas certidões e documentos de operação.</t>
  </si>
  <si>
    <t xml:space="preserve">Se esses contratos envolvem alocação de pessoas, há exposição direta a responsabilidade subsidiária e a glosa por falta de comprovação.</t>
  </si>
  <si>
    <t xml:space="preserve">Confirmar a natureza contratual (entrega de produto x posto de trabalho). Se houver alocação, a matriz está incompleta — prioridade máxima.</t>
  </si>
  <si>
    <t xml:space="preserve">D10</t>
  </si>
  <si>
    <t xml:space="preserve">Média</t>
  </si>
  <si>
    <t xml:space="preserve">A tríade do plano de saúde não está completa em nenhum contrato</t>
  </si>
  <si>
    <t xml:space="preserve">Relação do plano: DOCAS, SESCOOP e TJ CE. Comprovante de pagamento do plano: apenas SESCOOP. Nenhum contrato exige explicitamente o cruzamento com o desconto na folha.</t>
  </si>
  <si>
    <t xml:space="preserve">Exatamente o cenário de conciliação descrito pela DAF hoje não é exigível nem verificável em 7 dos 8 contratos.</t>
  </si>
  <si>
    <t xml:space="preserve">Padronizar a tríade (relação + desconto em folha + comprovante de pagamento) como controle interno, mesmo onde o edital não exige.</t>
  </si>
  <si>
    <t xml:space="preserve">D11</t>
  </si>
  <si>
    <t xml:space="preserve">Documento arquivado em família incompatível</t>
  </si>
  <si>
    <t xml:space="preserve">Comprovantes de parcelamento do INSS na pasta FGTS; relatórios do FGTS Digital na pasta PARCELAMENTOS; comprovante de rescisão na pasta OPERAÇÃO; INSS/FGTS do 13º na pasta 13º e no mesmo tipo do mensal.</t>
  </si>
  <si>
    <t xml:space="preserve">A varredura por pasta não encontra o documento no lugar esperado.</t>
  </si>
  <si>
    <t xml:space="preserve">Reorganizar segundo a família canônica; a pasta passa a ser derivada do tipo, não digitada.</t>
  </si>
  <si>
    <t xml:space="preserve">D12</t>
  </si>
  <si>
    <t xml:space="preserve">Semântica invertida em código de documento</t>
  </si>
  <si>
    <t xml:space="preserve">TERMO_DE_ADESÃO_VT, cuja descrição é "TERMO DE NÃO ADESÃO VT".</t>
  </si>
  <si>
    <t xml:space="preserve">Risco de aceitar o documento oposto ao exigido em conferência automática ou manual.</t>
  </si>
  <si>
    <t xml:space="preserve">Renomear para TERMO_NAO_ADESAO_VT e tratar como alternativa condicional à relação de VT.</t>
  </si>
  <si>
    <t xml:space="preserve">D13</t>
  </si>
  <si>
    <t xml:space="preserve">Dois repositórios sem fonte-mestre definida</t>
  </si>
  <si>
    <t xml:space="preserve">LOCAL = CLOUD em 139 linhas, JIRA em 20 e "CLOUD/JIRA" em 17.</t>
  </si>
  <si>
    <t xml:space="preserve">Documento pode existir em um e não no outro; a conferência depende de quem procurou onde.</t>
  </si>
  <si>
    <t xml:space="preserve">Definir repositório-mestre por tipo documental. Se houver cópia no Jira, ela é referência, não evidência.</t>
  </si>
  <si>
    <t xml:space="preserve">D14</t>
  </si>
  <si>
    <t xml:space="preserve">Não há campo de criticidade nem de granularidade</t>
  </si>
  <si>
    <t xml:space="preserve">Todas as 176 linhas têm o mesmo peso; não se distingue documento por contrato (nota fiscal) de documento por profissional (contracheque, TRCT, ASO).</t>
  </si>
  <si>
    <t xml:space="preserve">Não é possível bloquear faturamento por pendência crítica nem medir completude ("faltam 3 contracheques de 42").</t>
  </si>
  <si>
    <t xml:space="preserve">Incluir os dois campos. Propostas já preenchidas nas abas CATALOGO_DOCUMENTOS e MATRIZ_EXIGIBILIDADE, para validação.</t>
  </si>
  <si>
    <t xml:space="preserve">D15</t>
  </si>
  <si>
    <t xml:space="preserve">Exigência sem rastreabilidade da fonte</t>
  </si>
  <si>
    <t xml:space="preserve">"PREVISÃO = Edital" em 122 linhas, sem número de cláusula, item ou norma.</t>
  </si>
  <si>
    <t xml:space="preserve">Em questionamento do cliente ou de órgão de controle não há como demonstrar a origem da exigência, nem revisar a matriz após aditivo.</t>
  </si>
  <si>
    <t xml:space="preserve">Criar campo FUNDAMENTO (contrato, cláusula/item, ou norma) e vinculá-lo ao documento contratual.</t>
  </si>
  <si>
    <t xml:space="preserve">COD_CANONICO</t>
  </si>
  <si>
    <t xml:space="preserve">NOME_OFICIAL</t>
  </si>
  <si>
    <t xml:space="preserve">FAMILIA</t>
  </si>
  <si>
    <t xml:space="preserve">GRANULARIDADE</t>
  </si>
  <si>
    <t xml:space="preserve">EVENTO</t>
  </si>
  <si>
    <t xml:space="preserve">COMPETENCIA_REFERENCIA</t>
  </si>
  <si>
    <t xml:space="preserve">FONTE_MESTRE</t>
  </si>
  <si>
    <t xml:space="preserve">CRITICIDADE_SUGERIDA</t>
  </si>
  <si>
    <t xml:space="preserve">CONTRATOS_QUE_EXIGEM</t>
  </si>
  <si>
    <t xml:space="preserve">NOMENCLATURAS_ATUAIS (aliases)</t>
  </si>
  <si>
    <t xml:space="preserve">FUNDAMENTO (preencher)</t>
  </si>
  <si>
    <t xml:space="preserve">OPE.RELATORIO_MEDICAO</t>
  </si>
  <si>
    <t xml:space="preserve">Relatório técnico de medição / atividades</t>
  </si>
  <si>
    <t xml:space="preserve">Operação e medição</t>
  </si>
  <si>
    <t xml:space="preserve">Contrato</t>
  </si>
  <si>
    <t xml:space="preserve">Mensal</t>
  </si>
  <si>
    <t xml:space="preserve">Mês da competência</t>
  </si>
  <si>
    <t xml:space="preserve">Operação</t>
  </si>
  <si>
    <t xml:space="preserve">Bloqueante</t>
  </si>
  <si>
    <t xml:space="preserve">BNB, DOCAS, SESCOOP, TERRACAP, TJ CE</t>
  </si>
  <si>
    <t xml:space="preserve">RELATORIO_DE_ATIVIDADES ; RELATORIO_DE_FATURAMENTO ; RELATÓRIO_DE_ATIVIDADES_DESENVOLVIDAS_POR _CADA_UM_DOS_POSTOS_DE_TRABALHO ; RELATÓRIO_DE_FATURAMENTO ; RTA_RELATORIO_TECNICO_ATIVIDADES_DE_FATURAMENTO</t>
  </si>
  <si>
    <t xml:space="preserve">OPE.PLANILHA_MEDICAO</t>
  </si>
  <si>
    <t xml:space="preserve">Planilha de faturamento (memória de cálculo)</t>
  </si>
  <si>
    <t xml:space="preserve">TERRACAP, TJ CE, Telebrás</t>
  </si>
  <si>
    <t xml:space="preserve">PLANILHA_DE_FATURAMENTO</t>
  </si>
  <si>
    <t xml:space="preserve">OPE.AUTORIZACAO_FATURAMENTO</t>
  </si>
  <si>
    <t xml:space="preserve">Autorização formal de faturamento</t>
  </si>
  <si>
    <t xml:space="preserve">BNB, DOCAS, TERRACAP, TJ CE, Telebrás</t>
  </si>
  <si>
    <t xml:space="preserve">AUTORIZAÇÃO_DE_FATURAMENTO ; E-MAIL_AUTORIZACAO_EMISSAO_NF ; E-MAIL_AUTORIZAÇÃO_EMISSÃO_NF</t>
  </si>
  <si>
    <t xml:space="preserve">OPE.ATESTE_RECEBIMENTO</t>
  </si>
  <si>
    <t xml:space="preserve">Ateste / Termo de recebimento do cliente</t>
  </si>
  <si>
    <t xml:space="preserve">Cliente</t>
  </si>
  <si>
    <t xml:space="preserve">SEFAZ RS, SESCOOP</t>
  </si>
  <si>
    <t xml:space="preserve">TERMO_DE_RECEBIMENTO ; TRD</t>
  </si>
  <si>
    <t xml:space="preserve">OPE.EMPENHO</t>
  </si>
  <si>
    <t xml:space="preserve">Nota de empenho vigente</t>
  </si>
  <si>
    <t xml:space="preserve">CEF</t>
  </si>
  <si>
    <t xml:space="preserve">EMPENHO</t>
  </si>
  <si>
    <t xml:space="preserve">OPE.RELACAO_ALOCADOS</t>
  </si>
  <si>
    <t xml:space="preserve">Relação de empregados alocados no contrato</t>
  </si>
  <si>
    <t xml:space="preserve">RELAÇÃO_DOS_EMPREGADOS_ALOCADOS_NO_CONTRATO_PARA_PRESTAÇÃO_DE_SERVIÇOS</t>
  </si>
  <si>
    <t xml:space="preserve">OPE.DOC_TECNICA</t>
  </si>
  <si>
    <t xml:space="preserve">Documentação técnica dos sistemas desenvolvidos</t>
  </si>
  <si>
    <t xml:space="preserve">Não bloqueante</t>
  </si>
  <si>
    <t xml:space="preserve">DOCAS, SEFAZ RS</t>
  </si>
  <si>
    <t xml:space="preserve">DOCUMENTAÇÃO_TÉCNICA_DOS_SISTEMAS_DESENVOLVIDOS</t>
  </si>
  <si>
    <t xml:space="preserve">OPE.FOLHA_PONTO</t>
  </si>
  <si>
    <t xml:space="preserve">Folha de ponto / ponto eletrônico</t>
  </si>
  <si>
    <t xml:space="preserve">Profissional</t>
  </si>
  <si>
    <t xml:space="preserve">DP</t>
  </si>
  <si>
    <t xml:space="preserve">DOCAS</t>
  </si>
  <si>
    <t xml:space="preserve">FOLHAS_DE_PONTO</t>
  </si>
  <si>
    <t xml:space="preserve">OPE.MOVIMENTACAO_PESSOAL</t>
  </si>
  <si>
    <t xml:space="preserve">Movimentação de pessoal do contrato</t>
  </si>
  <si>
    <t xml:space="preserve">Eventual</t>
  </si>
  <si>
    <t xml:space="preserve">TJ CE</t>
  </si>
  <si>
    <t xml:space="preserve">MOVIMENTACAO_DE_PESSOAL</t>
  </si>
  <si>
    <t xml:space="preserve">FIS.NOTA_FISCAL</t>
  </si>
  <si>
    <t xml:space="preserve">Nota fiscal de serviço</t>
  </si>
  <si>
    <t xml:space="preserve">Fiscal</t>
  </si>
  <si>
    <t xml:space="preserve">Financeiro</t>
  </si>
  <si>
    <t xml:space="preserve">BNB, CEF, DOCAS, SEFAZ RS, SESCOOP, TERRACAP, TJ CE, Telebrás</t>
  </si>
  <si>
    <t xml:space="preserve">NOTA _FISCAL ; NOTA_FISCAL</t>
  </si>
  <si>
    <t xml:space="preserve">FIS.NF_XML</t>
  </si>
  <si>
    <t xml:space="preserve">XML da nota fiscal</t>
  </si>
  <si>
    <t xml:space="preserve">Telebrás</t>
  </si>
  <si>
    <t xml:space="preserve">XML</t>
  </si>
  <si>
    <t xml:space="preserve">FIS.CARTA_ENTREGA_NF</t>
  </si>
  <si>
    <t xml:space="preserve">Carta de entrega da nota fiscal</t>
  </si>
  <si>
    <t xml:space="preserve">CARTA_NOTA_FISCAL</t>
  </si>
  <si>
    <t xml:space="preserve">CER.CND_RFB</t>
  </si>
  <si>
    <t xml:space="preserve">CND Receita Federal / Dívida Ativa da União</t>
  </si>
  <si>
    <t xml:space="preserve">Certidões e regularidade</t>
  </si>
  <si>
    <t xml:space="preserve">Válida na data do faturamento</t>
  </si>
  <si>
    <t xml:space="preserve">BNB, CEF, DOCAS, SEFAZ RS, TERRACAP, TJ CE, Telebrás</t>
  </si>
  <si>
    <t xml:space="preserve">CND_RFB</t>
  </si>
  <si>
    <t xml:space="preserve">CER.CRF_FGTS</t>
  </si>
  <si>
    <t xml:space="preserve">Certificado de Regularidade do FGTS (CRF)</t>
  </si>
  <si>
    <t xml:space="preserve">CRF_FGTS</t>
  </si>
  <si>
    <t xml:space="preserve">CER.CNDT</t>
  </si>
  <si>
    <t xml:space="preserve">Certidão Negativa de Débitos Trabalhistas (CNDT)</t>
  </si>
  <si>
    <t xml:space="preserve">CNDT</t>
  </si>
  <si>
    <t xml:space="preserve">CER.SICAF</t>
  </si>
  <si>
    <t xml:space="preserve">Consulta SICAF</t>
  </si>
  <si>
    <t xml:space="preserve">BNB, DOCAS, SEFAZ RS, TERRACAP, TJ CE, Telebrás</t>
  </si>
  <si>
    <t xml:space="preserve">SICAF</t>
  </si>
  <si>
    <t xml:space="preserve">CER.CND_ESTADUAL</t>
  </si>
  <si>
    <t xml:space="preserve">Certidão de regularidade fiscal estadual/distrital</t>
  </si>
  <si>
    <t xml:space="preserve">CND_GDF</t>
  </si>
  <si>
    <t xml:space="preserve">CER.CND_CIVEL_CRIMINAL</t>
  </si>
  <si>
    <t xml:space="preserve">Certidão negativa de distribuição cível e criminal</t>
  </si>
  <si>
    <t xml:space="preserve">CND_CIVEL_E_CRIMINAL ; CND_CÍVEL_E_CRIMINAL</t>
  </si>
  <si>
    <t xml:space="preserve">CER.CND_FALENCIA</t>
  </si>
  <si>
    <t xml:space="preserve">Certidão negativa de falência e recuperação judicial</t>
  </si>
  <si>
    <t xml:space="preserve">CND FALENCIA E RECUP JUD ; CND_FALENCIA_E_RECUP_JUD</t>
  </si>
  <si>
    <t xml:space="preserve">FOL.FOPAG</t>
  </si>
  <si>
    <t xml:space="preserve">Folha de pagamento analítica</t>
  </si>
  <si>
    <t xml:space="preserve">Folha</t>
  </si>
  <si>
    <t xml:space="preserve">BNB, CEF, DOCAS, SESCOOP, TJ CE</t>
  </si>
  <si>
    <t xml:space="preserve">FOPAG</t>
  </si>
  <si>
    <t xml:space="preserve">FOL.COMPROVANTE_PG</t>
  </si>
  <si>
    <t xml:space="preserve">Comprovante de pagamento da folha</t>
  </si>
  <si>
    <t xml:space="preserve">COMPROVANTE_PG_FOLHA</t>
  </si>
  <si>
    <t xml:space="preserve">FOL.CONTRACHEQUE</t>
  </si>
  <si>
    <t xml:space="preserve">Contracheque / recibo de pagamento</t>
  </si>
  <si>
    <t xml:space="preserve">BNB, DOCAS, SESCOOP, TJ CE</t>
  </si>
  <si>
    <t xml:space="preserve">CONTRACHEQUES</t>
  </si>
  <si>
    <t xml:space="preserve">DEC.FOPAG_13</t>
  </si>
  <si>
    <t xml:space="preserve">Folha de pagamento do 13º salário</t>
  </si>
  <si>
    <t xml:space="preserve">13º salário</t>
  </si>
  <si>
    <t xml:space="preserve">13º</t>
  </si>
  <si>
    <t xml:space="preserve">CEF, TJ CE</t>
  </si>
  <si>
    <t xml:space="preserve">FOPAGO_13º SALÁRIO ; FOPAG_13º</t>
  </si>
  <si>
    <t xml:space="preserve">DEC.COMPROVANTE_PG_13</t>
  </si>
  <si>
    <t xml:space="preserve">Comprovante de pagamento do 13º salário</t>
  </si>
  <si>
    <t xml:space="preserve">COMPROVANTE_PG_13º SALARIO</t>
  </si>
  <si>
    <t xml:space="preserve">FGT.GUIA</t>
  </si>
  <si>
    <t xml:space="preserve">Guia FGTS Digital</t>
  </si>
  <si>
    <t xml:space="preserve">FGTS</t>
  </si>
  <si>
    <t xml:space="preserve">Competência anterior (M-1)</t>
  </si>
  <si>
    <t xml:space="preserve">GFD-GUIA_DO_FGTS ; GFD_GUIA_DO_FGTS</t>
  </si>
  <si>
    <t xml:space="preserve">FGT.COMPROVANTE_PG</t>
  </si>
  <si>
    <t xml:space="preserve">Comprovante de pagamento do FGTS</t>
  </si>
  <si>
    <t xml:space="preserve">COMPROVANTE_PG_FGTS</t>
  </si>
  <si>
    <t xml:space="preserve">FGT.EXTRATO</t>
  </si>
  <si>
    <t xml:space="preserve">Extrato analítico do FGTS por trabalhador</t>
  </si>
  <si>
    <t xml:space="preserve">CEF, SESCOOP, TJ CE</t>
  </si>
  <si>
    <t xml:space="preserve">EXTRATO_FGTS</t>
  </si>
  <si>
    <t xml:space="preserve">FGT.RELATORIO_DIGITAL</t>
  </si>
  <si>
    <t xml:space="preserve">Relatórios do FGTS Digital (individualização)</t>
  </si>
  <si>
    <t xml:space="preserve">CEF, SESCOOP</t>
  </si>
  <si>
    <t xml:space="preserve">FGTS-DETALHE_DA_GUIA ; GFD_GUIA_DO_FGTS</t>
  </si>
  <si>
    <t xml:space="preserve">FGT.GUIA_RESCISORIA</t>
  </si>
  <si>
    <t xml:space="preserve">Guia FGTS rescisória (GRRF)</t>
  </si>
  <si>
    <t xml:space="preserve">Rescisão</t>
  </si>
  <si>
    <t xml:space="preserve">Data do evento</t>
  </si>
  <si>
    <t xml:space="preserve">GUIA_GFD</t>
  </si>
  <si>
    <t xml:space="preserve">FGT.COMPROVANTE_PG_GRRF</t>
  </si>
  <si>
    <t xml:space="preserve">Comprovante de pagamento da GRRF</t>
  </si>
  <si>
    <t xml:space="preserve">COMPROVANTE_PG_GRRF</t>
  </si>
  <si>
    <t xml:space="preserve">INS.DCTFWEB</t>
  </si>
  <si>
    <t xml:space="preserve">DCTFWeb completa</t>
  </si>
  <si>
    <t xml:space="preserve">INSS e tributos</t>
  </si>
  <si>
    <t xml:space="preserve">BNB, CEF, SESCOOP</t>
  </si>
  <si>
    <t xml:space="preserve">DCTFWEB_COMPLETA</t>
  </si>
  <si>
    <t xml:space="preserve">INS.DARF</t>
  </si>
  <si>
    <t xml:space="preserve">DARF de recolhimento (DCTFWeb)</t>
  </si>
  <si>
    <t xml:space="preserve">DOCAS, SESCOOP, TJ CE</t>
  </si>
  <si>
    <t xml:space="preserve">DCTFWEB_DARF</t>
  </si>
  <si>
    <t xml:space="preserve">INS.COMPROVANTE_PG</t>
  </si>
  <si>
    <t xml:space="preserve">Comprovante de pagamento do INSS</t>
  </si>
  <si>
    <t xml:space="preserve">COMPROVANTE_PG_INSS</t>
  </si>
  <si>
    <t xml:space="preserve">INS.COMPROVANTE_PG_IRRF</t>
  </si>
  <si>
    <t xml:space="preserve">Comprovante de pagamento do IRRF</t>
  </si>
  <si>
    <t xml:space="preserve">SESCOOP</t>
  </si>
  <si>
    <t xml:space="preserve">COMPROVANTE_PG_IRRF</t>
  </si>
  <si>
    <t xml:space="preserve">INS.PARCELAMENTO_TABELA</t>
  </si>
  <si>
    <t xml:space="preserve">Tabela resumo dos parcelamentos INSS</t>
  </si>
  <si>
    <t xml:space="preserve">TABELA_RESUMO_PARCELAMENTOS</t>
  </si>
  <si>
    <t xml:space="preserve">INS.PARCELAMENTO_COMPROV</t>
  </si>
  <si>
    <t xml:space="preserve">DARF e comprovante dos parcelamentos INSS</t>
  </si>
  <si>
    <t xml:space="preserve">COMPROVANTES_PARCELAMENTOS</t>
  </si>
  <si>
    <t xml:space="preserve">BEN.RELACAO_PLANO_SAUDE</t>
  </si>
  <si>
    <t xml:space="preserve">Relação de beneficiários do plano de saúde</t>
  </si>
  <si>
    <t xml:space="preserve">Benefícios</t>
  </si>
  <si>
    <t xml:space="preserve">RELACAO_PLANO_DE_SAÚDE ; RELAÇÃO_PLANO_DE_SAÚDE</t>
  </si>
  <si>
    <t xml:space="preserve">BEN.COMPROVANTE_PLANO_SAUDE</t>
  </si>
  <si>
    <t xml:space="preserve">Comprovante de pagamento do plano de saúde</t>
  </si>
  <si>
    <t xml:space="preserve">COMPROVANTE_PG_PLANO_DE_SAUDE</t>
  </si>
  <si>
    <t xml:space="preserve">BEN.RELACAO_VA_VR</t>
  </si>
  <si>
    <t xml:space="preserve">Relação de vale-alimentação/refeição</t>
  </si>
  <si>
    <t xml:space="preserve">CEF, DOCAS, SESCOOP, TJ CE</t>
  </si>
  <si>
    <t xml:space="preserve">RELACAO_DE_VA_VR ; RELAÇÃO_DE_VA_VR</t>
  </si>
  <si>
    <t xml:space="preserve">BEN.COMPROVANTE_VA_VR</t>
  </si>
  <si>
    <t xml:space="preserve">Comprovante de pagamento do VA/VR</t>
  </si>
  <si>
    <t xml:space="preserve">COMPROVANTE_PG_ALIMENTAÇÃO ; COMPROVANTE_PG_VA_VR</t>
  </si>
  <si>
    <t xml:space="preserve">BEN.RELACAO_VT</t>
  </si>
  <si>
    <t xml:space="preserve">Relação de vale-transporte</t>
  </si>
  <si>
    <t xml:space="preserve">RELAÇÃO_DE_VT</t>
  </si>
  <si>
    <t xml:space="preserve">BEN.COMPROVANTE_VT</t>
  </si>
  <si>
    <t xml:space="preserve">Comprovante de pagamento do VT</t>
  </si>
  <si>
    <t xml:space="preserve">COMPROVANTE_PG_TRANSPORTE ; COMPROVANTE_PG_VT</t>
  </si>
  <si>
    <t xml:space="preserve">BEN.TERMO_NAO_ADESAO_VT</t>
  </si>
  <si>
    <t xml:space="preserve">Termo de não adesão ao VT</t>
  </si>
  <si>
    <t xml:space="preserve">TERMO_DE_ADESÃO_VT</t>
  </si>
  <si>
    <t xml:space="preserve">FER.AVISO</t>
  </si>
  <si>
    <t xml:space="preserve">Aviso de férias</t>
  </si>
  <si>
    <t xml:space="preserve">Férias</t>
  </si>
  <si>
    <t xml:space="preserve">AVISO_DE_FERIAS</t>
  </si>
  <si>
    <t xml:space="preserve">FER.RECIBO</t>
  </si>
  <si>
    <t xml:space="preserve">Recibo de férias</t>
  </si>
  <si>
    <t xml:space="preserve">RECIBO_DE_FERIAS ; RECIBO_DE_FÉRIAS</t>
  </si>
  <si>
    <t xml:space="preserve">FER.COMPROVANTE_PG</t>
  </si>
  <si>
    <t xml:space="preserve">Comprovante de pagamento de férias</t>
  </si>
  <si>
    <t xml:space="preserve">COMPROVANTE_PG_FERIAS ; COMPROVANTE_PG_FÉRIAS</t>
  </si>
  <si>
    <t xml:space="preserve">RES.AVISO_PREVIO</t>
  </si>
  <si>
    <t xml:space="preserve">Aviso prévio</t>
  </si>
  <si>
    <t xml:space="preserve">AVISO_PREVIO ; AVISO_PRÉVIO</t>
  </si>
  <si>
    <t xml:space="preserve">RES.TRCT</t>
  </si>
  <si>
    <t xml:space="preserve">TRCT / Termo de rescisão</t>
  </si>
  <si>
    <t xml:space="preserve">TRCT</t>
  </si>
  <si>
    <t xml:space="preserve">RES.ASO_DEMISSIONAL</t>
  </si>
  <si>
    <t xml:space="preserve">ASO demissional</t>
  </si>
  <si>
    <t xml:space="preserve">ASO_DEMISSIONAL</t>
  </si>
  <si>
    <t xml:space="preserve">RES.COMPROVANTE_PG</t>
  </si>
  <si>
    <t xml:space="preserve">Comprovante de pagamento da rescisão</t>
  </si>
  <si>
    <t xml:space="preserve">COMPROVANTE_PG_RECSISÃO ; COMPROVANTE_PG_RESCISÃO</t>
  </si>
  <si>
    <t xml:space="preserve">ADM.DOCUMENTACAO</t>
  </si>
  <si>
    <t xml:space="preserve">Documentação admissional</t>
  </si>
  <si>
    <t xml:space="preserve">Admissão</t>
  </si>
  <si>
    <t xml:space="preserve">DOC_ADMISSAO</t>
  </si>
  <si>
    <t xml:space="preserve">CONTRATO</t>
  </si>
  <si>
    <t xml:space="preserve">DESCRICAO_ORIGINAL</t>
  </si>
  <si>
    <t xml:space="preserve">NOMENCLATURA_ORIGINAL</t>
  </si>
  <si>
    <t xml:space="preserve">CRITICIDADE</t>
  </si>
  <si>
    <t xml:space="preserve">RESPONSAVEL</t>
  </si>
  <si>
    <t xml:space="preserve">COMPETENCIA_ARQUIVO</t>
  </si>
  <si>
    <t xml:space="preserve">COMPETENCIA_CORRIGIDA</t>
  </si>
  <si>
    <t xml:space="preserve">PRAZO_ORIGINAL</t>
  </si>
  <si>
    <t xml:space="preserve">PRAZO_ANCORA</t>
  </si>
  <si>
    <t xml:space="preserve">PRAZO_TIPO_DIA</t>
  </si>
  <si>
    <t xml:space="preserve">PRAZO_LIMITE</t>
  </si>
  <si>
    <t xml:space="preserve">REPOSITORIO</t>
  </si>
  <si>
    <t xml:space="preserve">PASTA</t>
  </si>
  <si>
    <t xml:space="preserve">PERIODICIDADE</t>
  </si>
  <si>
    <t xml:space="preserve">PREVISAO_ARQUIVO</t>
  </si>
  <si>
    <t xml:space="preserve">DIVERGENCIAS</t>
  </si>
  <si>
    <t xml:space="preserve">L001</t>
  </si>
  <si>
    <t xml:space="preserve">BNB</t>
  </si>
  <si>
    <t xml:space="preserve">Relatório de Faturamento</t>
  </si>
  <si>
    <t xml:space="preserve">RELATORIO_DE_FATURAMENTO</t>
  </si>
  <si>
    <t xml:space="preserve">OPERAÇÃO</t>
  </si>
  <si>
    <t xml:space="preserve">Mês da Competência</t>
  </si>
  <si>
    <t xml:space="preserve">SOB FATURAMENTO</t>
  </si>
  <si>
    <t xml:space="preserve">Ateste do cliente</t>
  </si>
  <si>
    <t xml:space="preserve">Corrido</t>
  </si>
  <si>
    <t xml:space="preserve">JIRA</t>
  </si>
  <si>
    <t xml:space="preserve">Mensalmente</t>
  </si>
  <si>
    <t xml:space="preserve">Até último dia útil</t>
  </si>
  <si>
    <t xml:space="preserve">L002</t>
  </si>
  <si>
    <t xml:space="preserve">Autorização de Faturamento</t>
  </si>
  <si>
    <t xml:space="preserve">AUTORIZAÇÃO_DE_FATURAMENTO</t>
  </si>
  <si>
    <t xml:space="preserve">L003</t>
  </si>
  <si>
    <t xml:space="preserve">Carta de Entrega da Nota Fiscal</t>
  </si>
  <si>
    <t xml:space="preserve">FINANCEIRO</t>
  </si>
  <si>
    <t xml:space="preserve">CLOUD/JIRA</t>
  </si>
  <si>
    <t xml:space="preserve">Edital</t>
  </si>
  <si>
    <t xml:space="preserve">L004</t>
  </si>
  <si>
    <t xml:space="preserve">Nota Fiscal</t>
  </si>
  <si>
    <t xml:space="preserve">NOTA _FISCAL</t>
  </si>
  <si>
    <t xml:space="preserve">NOMENCLATURA com espaço/caractere irregular</t>
  </si>
  <si>
    <t xml:space="preserve">L005</t>
  </si>
  <si>
    <t xml:space="preserve">Certidão expedida pela Secretaria da Receita Federal do Brasil – RFB</t>
  </si>
  <si>
    <t xml:space="preserve">CLOUD</t>
  </si>
  <si>
    <t xml:space="preserve">CERTIDÕES</t>
  </si>
  <si>
    <t xml:space="preserve">L006</t>
  </si>
  <si>
    <t xml:space="preserve">Certificado  de  Regularidade  do  Fundo  de  Garantia  por  Tempo  de  Serviço  –  FGTS</t>
  </si>
  <si>
    <t xml:space="preserve">L007</t>
  </si>
  <si>
    <t xml:space="preserve">Certidão   Negativa de   Débitos   Trabalhistas – CNDT</t>
  </si>
  <si>
    <t xml:space="preserve">L008</t>
  </si>
  <si>
    <t xml:space="preserve">Sistema de Cadastramento Unificado de Fornecedores - SICAF</t>
  </si>
  <si>
    <t xml:space="preserve">L009</t>
  </si>
  <si>
    <t xml:space="preserve">Certidão Positiva de Débitos Com Efeito de Negativa - GDF</t>
  </si>
  <si>
    <t xml:space="preserve">L010</t>
  </si>
  <si>
    <t xml:space="preserve">Certidão Negativa de Distribuição (Especial Ações Cíveis e Criminais)</t>
  </si>
  <si>
    <t xml:space="preserve">CND_CÍVEL_E_CRIMINAL</t>
  </si>
  <si>
    <t xml:space="preserve">L011</t>
  </si>
  <si>
    <t xml:space="preserve">Certidão Negativa de Distribuição (Ações de Falências e Recuperações Judiciais)</t>
  </si>
  <si>
    <t xml:space="preserve">CND_FALENCIA_E_RECUP_JUD</t>
  </si>
  <si>
    <t xml:space="preserve">L012</t>
  </si>
  <si>
    <t xml:space="preserve">Guia FGTS</t>
  </si>
  <si>
    <t xml:space="preserve">GFD_GUIA_DO_FGTS</t>
  </si>
  <si>
    <t xml:space="preserve">ATÉ DIA 20</t>
  </si>
  <si>
    <t xml:space="preserve">Início da competência</t>
  </si>
  <si>
    <t xml:space="preserve">COMPETÊNCIA divergente: consta "Mês da Competência", esperado "Competência Anterior"</t>
  </si>
  <si>
    <t xml:space="preserve">L013</t>
  </si>
  <si>
    <t xml:space="preserve">COMPROVANTE DE PAGAMENTO FGTS</t>
  </si>
  <si>
    <t xml:space="preserve">Competência Anterior</t>
  </si>
  <si>
    <t xml:space="preserve">ATÉ DIA 21</t>
  </si>
  <si>
    <t xml:space="preserve">L014</t>
  </si>
  <si>
    <t xml:space="preserve">DCTFWEB Completa DARF </t>
  </si>
  <si>
    <t xml:space="preserve">INSS</t>
  </si>
  <si>
    <t xml:space="preserve">L015</t>
  </si>
  <si>
    <t xml:space="preserve">Recolhimento e Comprovante de Pagamento</t>
  </si>
  <si>
    <t xml:space="preserve">ENTRE DIA 20 A 30</t>
  </si>
  <si>
    <t xml:space="preserve">LINHA COMPOSTA: descreve mais de um artefato</t>
  </si>
  <si>
    <t xml:space="preserve">L016</t>
  </si>
  <si>
    <t xml:space="preserve">Folha de Pagamento</t>
  </si>
  <si>
    <t xml:space="preserve">ATÉ O 5º DIA ÚTIL</t>
  </si>
  <si>
    <t xml:space="preserve">Útil</t>
  </si>
  <si>
    <t xml:space="preserve">FOLHA</t>
  </si>
  <si>
    <t xml:space="preserve">L017</t>
  </si>
  <si>
    <t xml:space="preserve">Comprovante da Folha de Pagamento</t>
  </si>
  <si>
    <t xml:space="preserve">5º DIA UTIL</t>
  </si>
  <si>
    <t xml:space="preserve">L018</t>
  </si>
  <si>
    <t xml:space="preserve">Contra Cheque</t>
  </si>
  <si>
    <t xml:space="preserve">ATÉ DIA 07</t>
  </si>
  <si>
    <t xml:space="preserve">L019</t>
  </si>
  <si>
    <t xml:space="preserve">RELAÇÃO DOS EMPREGADOS ALOCADOS NO CONTRATO PARA PRESTAÇÃO DE SERVIÇOS (PLANILHA CLT - MODELO ENCAMINHADO)</t>
  </si>
  <si>
    <t xml:space="preserve">DIA 25 DO MÊS</t>
  </si>
  <si>
    <t xml:space="preserve">L020</t>
  </si>
  <si>
    <t xml:space="preserve">Empenho</t>
  </si>
  <si>
    <t xml:space="preserve">L021</t>
  </si>
  <si>
    <t xml:space="preserve">L022</t>
  </si>
  <si>
    <t xml:space="preserve">L023</t>
  </si>
  <si>
    <t xml:space="preserve">GFD-GUIA_DO_FGTS</t>
  </si>
  <si>
    <t xml:space="preserve">L024</t>
  </si>
  <si>
    <t xml:space="preserve">DIA 21</t>
  </si>
  <si>
    <t xml:space="preserve">L025</t>
  </si>
  <si>
    <t xml:space="preserve">FGTS DIGITAL - RELATÓRIOS</t>
  </si>
  <si>
    <t xml:space="preserve">FGTS-DETALHE_DA_GUIA</t>
  </si>
  <si>
    <t xml:space="preserve">PARCELAMENTOS</t>
  </si>
  <si>
    <t xml:space="preserve">PASTA incompatível com a família do documento</t>
  </si>
  <si>
    <t xml:space="preserve">L026</t>
  </si>
  <si>
    <t xml:space="preserve">TABELA RESUMO DOS PARCELAMENTOS INSS EM ANDAMENTO</t>
  </si>
  <si>
    <t xml:space="preserve">ENTRE DIA 30 A 31</t>
  </si>
  <si>
    <t xml:space="preserve">L027</t>
  </si>
  <si>
    <t xml:space="preserve">DARFS E COMPROVANTES DOS PARCELAMENTOS INSS EM ANDAMENTO</t>
  </si>
  <si>
    <t xml:space="preserve">LINHA COMPOSTA: descreve mais de um artefato | PASTA incompatível com a família do documento</t>
  </si>
  <si>
    <t xml:space="preserve">L028</t>
  </si>
  <si>
    <t xml:space="preserve">FÉRIAS</t>
  </si>
  <si>
    <t xml:space="preserve">PERIODICIDADE em branco</t>
  </si>
  <si>
    <t xml:space="preserve">L029</t>
  </si>
  <si>
    <t xml:space="preserve">RECIBO_DE_FÉRIAS</t>
  </si>
  <si>
    <t xml:space="preserve">PERIODICIDADE em branco | PREVISÃO/fundamento em branco</t>
  </si>
  <si>
    <t xml:space="preserve">L030</t>
  </si>
  <si>
    <t xml:space="preserve">FÉRIAS - COMPROVANTE DE PAGAMENTO </t>
  </si>
  <si>
    <t xml:space="preserve">COMPROVANTE_PG_FÉRIAS</t>
  </si>
  <si>
    <t xml:space="preserve">1º DIA ÚTIL</t>
  </si>
  <si>
    <t xml:space="preserve">L031</t>
  </si>
  <si>
    <t xml:space="preserve">VALE TRANSPORTE E COMPROVANTE DE PAGAMENTO OU TERMO DE NÃO ADESÃO</t>
  </si>
  <si>
    <t xml:space="preserve">ATÉ DIA 03</t>
  </si>
  <si>
    <t xml:space="preserve">TRANSPORTE</t>
  </si>
  <si>
    <t xml:space="preserve">L032</t>
  </si>
  <si>
    <t xml:space="preserve">TERMO DE NÃO ADESÃO VT</t>
  </si>
  <si>
    <t xml:space="preserve">PREVISÃO/fundamento em branco | SEMÂNTICA INVERTIDA: código diz "adesão", documento é "NÃO adesão"</t>
  </si>
  <si>
    <t xml:space="preserve">L033</t>
  </si>
  <si>
    <t xml:space="preserve">COMPROVANTE_PG_VT</t>
  </si>
  <si>
    <t xml:space="preserve">ATÉ DIA 05</t>
  </si>
  <si>
    <t xml:space="preserve">LINHA ÓRFÃ: sem contrato de origem | COMPETÊNCIA em branco | PERIODICIDADE em branco | PREVISÃO/fundamento em branco | DESCRIÇÃO do documento em branco</t>
  </si>
  <si>
    <t xml:space="preserve">L034</t>
  </si>
  <si>
    <t xml:space="preserve">Termo de Rescisão</t>
  </si>
  <si>
    <t xml:space="preserve">RESCISÃO</t>
  </si>
  <si>
    <t xml:space="preserve">L035</t>
  </si>
  <si>
    <t xml:space="preserve">ASO - Demissional</t>
  </si>
  <si>
    <t xml:space="preserve">L036</t>
  </si>
  <si>
    <t xml:space="preserve">Comprovante de pagamento TRCT</t>
  </si>
  <si>
    <t xml:space="preserve">COMPROVANTE_PG_RESCISÃO</t>
  </si>
  <si>
    <t xml:space="preserve">10º dia útil</t>
  </si>
  <si>
    <t xml:space="preserve">DUPLICIDADE no mesmo contrato/evento | PERIODICIDADE em branco | PREVISÃO/fundamento em branco</t>
  </si>
  <si>
    <t xml:space="preserve">L037</t>
  </si>
  <si>
    <t xml:space="preserve">Aviso previo</t>
  </si>
  <si>
    <t xml:space="preserve">AVISO_PREVIO</t>
  </si>
  <si>
    <t xml:space="preserve">L038</t>
  </si>
  <si>
    <t xml:space="preserve">Extrato FGTS</t>
  </si>
  <si>
    <t xml:space="preserve">ATÉ DIA 25</t>
  </si>
  <si>
    <t xml:space="preserve">L039</t>
  </si>
  <si>
    <t xml:space="preserve">Guia FGTS Rescisão</t>
  </si>
  <si>
    <t xml:space="preserve">L040</t>
  </si>
  <si>
    <t xml:space="preserve">Comprovante de pagamento GRRF</t>
  </si>
  <si>
    <t xml:space="preserve">L041</t>
  </si>
  <si>
    <t xml:space="preserve">DOCUMENTAÇÃO DE RESCISÃO - COMPROVANTE DE PAGAMENTO </t>
  </si>
  <si>
    <t xml:space="preserve">COMPROVANTE_PG_RECSISÃO</t>
  </si>
  <si>
    <t xml:space="preserve">DUPLICIDADE no mesmo contrato/evento | PASTA incompatível com a família do documento</t>
  </si>
  <si>
    <t xml:space="preserve">L042</t>
  </si>
  <si>
    <t xml:space="preserve">FOLHA DE PAGAMENTO</t>
  </si>
  <si>
    <t xml:space="preserve">L043</t>
  </si>
  <si>
    <t xml:space="preserve">CERTIDÃO NEGATIVA DE DÉBITOS RELATIVOS A TRIBUTOS FEDERAIS E À DÍVIDA ATIVA DAI UNIÃO OU CERTIDÃO POSITIVA COM EFEITOS DE NEGATIVA</t>
  </si>
  <si>
    <t xml:space="preserve">L044</t>
  </si>
  <si>
    <t xml:space="preserve">DOCUMENTAÇÃO 13º SALÁRIO</t>
  </si>
  <si>
    <t xml:space="preserve">FOPAG_13º</t>
  </si>
  <si>
    <t xml:space="preserve">L045</t>
  </si>
  <si>
    <t xml:space="preserve">CERTIFICADO DE REGULARIDADE DO FGTS - CRF</t>
  </si>
  <si>
    <t xml:space="preserve">L046</t>
  </si>
  <si>
    <t xml:space="preserve">L047</t>
  </si>
  <si>
    <t xml:space="preserve">CERTIDÃO DE REGULARIDADE FISCAL COM A FAZENDA ESTADUAL/DISTRITAL</t>
  </si>
  <si>
    <t xml:space="preserve">L048</t>
  </si>
  <si>
    <t xml:space="preserve">VALE ALIMENTAÇÃO E COMPROVANTE DE PAGAMENTO</t>
  </si>
  <si>
    <t xml:space="preserve">RELAÇÃO_DE_VA_VR</t>
  </si>
  <si>
    <t xml:space="preserve">ALIMENTAÇÃO</t>
  </si>
  <si>
    <t xml:space="preserve">L049</t>
  </si>
  <si>
    <t xml:space="preserve">COMPROVANTE_PG_VA_VR</t>
  </si>
  <si>
    <t xml:space="preserve">L050</t>
  </si>
  <si>
    <t xml:space="preserve">CÓPIA DA DCTFWEB COMPLETO, RESPECTIVO DARF DE RECOLHIMENTO E COMPROVANTE DE PAGAMENTO:</t>
  </si>
  <si>
    <t xml:space="preserve">L051</t>
  </si>
  <si>
    <t xml:space="preserve">COMPROVANTE DE PAGAMENTO INSS</t>
  </si>
  <si>
    <t xml:space="preserve"> </t>
  </si>
  <si>
    <t xml:space="preserve">PREVISÃO/fundamento em branco</t>
  </si>
  <si>
    <t xml:space="preserve">L052</t>
  </si>
  <si>
    <t xml:space="preserve">CÓPIA DO COMPROVANTE DE DEPÓSITO EM CONTA BANCÁRIA DOS EMPREGADOS QUE CONSTAM NA PLANILHA CLT</t>
  </si>
  <si>
    <t xml:space="preserve">L053</t>
  </si>
  <si>
    <t xml:space="preserve">RELATÓRIO_DE_FATURAMENTO</t>
  </si>
  <si>
    <t xml:space="preserve">Até o 5° dia útil</t>
  </si>
  <si>
    <t xml:space="preserve">DUPLICIDADE no mesmo contrato/evento</t>
  </si>
  <si>
    <t xml:space="preserve">L054</t>
  </si>
  <si>
    <t xml:space="preserve">L055</t>
  </si>
  <si>
    <t xml:space="preserve">Relatórios de atividades desenvolvidas no período por cada um dos postos de trabalho</t>
  </si>
  <si>
    <t xml:space="preserve">RELATÓRIO_DE_ATIVIDADES_DESENVOLVIDAS_POR _CADA_UM_DOS_POSTOS_DE_TRABALHO</t>
  </si>
  <si>
    <t xml:space="preserve">DUPLICIDADE no mesmo contrato/evento | NOMENCLATURA com espaço/caractere irregular</t>
  </si>
  <si>
    <t xml:space="preserve">L056</t>
  </si>
  <si>
    <t xml:space="preserve">L057</t>
  </si>
  <si>
    <t xml:space="preserve">Regularidade   fiscal   perante   a   Fazenda   Nacional,   expedida conjuntamente  pela  Secretaria  da  Receita  Federal  do  Brasil – RFB</t>
  </si>
  <si>
    <t xml:space="preserve">L058</t>
  </si>
  <si>
    <t xml:space="preserve">Certidão  de  regularidade  junto FGTS</t>
  </si>
  <si>
    <t xml:space="preserve">L059</t>
  </si>
  <si>
    <t xml:space="preserve">L060</t>
  </si>
  <si>
    <t xml:space="preserve">CND_CIVEL_E_CRIMINAL</t>
  </si>
  <si>
    <t xml:space="preserve">L061</t>
  </si>
  <si>
    <t xml:space="preserve">L062</t>
  </si>
  <si>
    <t xml:space="preserve">L063</t>
  </si>
  <si>
    <t xml:space="preserve">L064</t>
  </si>
  <si>
    <t xml:space="preserve">Certificado de Regularidade do FGTS - CRF</t>
  </si>
  <si>
    <t xml:space="preserve">L065</t>
  </si>
  <si>
    <t xml:space="preserve">Folha De Pagamento</t>
  </si>
  <si>
    <t xml:space="preserve">L066</t>
  </si>
  <si>
    <t xml:space="preserve">L067</t>
  </si>
  <si>
    <t xml:space="preserve">L068</t>
  </si>
  <si>
    <t xml:space="preserve">Vale Alimentação</t>
  </si>
  <si>
    <t xml:space="preserve">L069</t>
  </si>
  <si>
    <t xml:space="preserve">Plano De Saúde</t>
  </si>
  <si>
    <t xml:space="preserve">RELAÇÃO_PLANO_DE_SAÚDE</t>
  </si>
  <si>
    <t xml:space="preserve">PLANO DE SAÚDE</t>
  </si>
  <si>
    <t xml:space="preserve">L070</t>
  </si>
  <si>
    <t xml:space="preserve">DARF - DCTFWEB</t>
  </si>
  <si>
    <t xml:space="preserve">L071</t>
  </si>
  <si>
    <t xml:space="preserve">L072</t>
  </si>
  <si>
    <t xml:space="preserve">L073</t>
  </si>
  <si>
    <t xml:space="preserve">L074</t>
  </si>
  <si>
    <t xml:space="preserve">L075</t>
  </si>
  <si>
    <t xml:space="preserve">L076</t>
  </si>
  <si>
    <t xml:space="preserve">Ponto Eletrônico</t>
  </si>
  <si>
    <t xml:space="preserve">PONTO ELETRÔNICO</t>
  </si>
  <si>
    <t xml:space="preserve">L077</t>
  </si>
  <si>
    <t xml:space="preserve">SEFAZ RS</t>
  </si>
  <si>
    <t xml:space="preserve">Termo de Recebimento</t>
  </si>
  <si>
    <t xml:space="preserve">TERMO_DE_RECEBIMENTO</t>
  </si>
  <si>
    <t xml:space="preserve">Após o dia 10°</t>
  </si>
  <si>
    <t xml:space="preserve">L078</t>
  </si>
  <si>
    <t xml:space="preserve">NOTA_FISCAL</t>
  </si>
  <si>
    <t xml:space="preserve">L079</t>
  </si>
  <si>
    <t xml:space="preserve">L080</t>
  </si>
  <si>
    <t xml:space="preserve">L081</t>
  </si>
  <si>
    <t xml:space="preserve">Certidão de regularidade   fiscal   perante   a   Fazenda   Nacional,   expedida conjuntamente  pela  Secretaria  da  Receita  Federal  do  Brasil – RFB</t>
  </si>
  <si>
    <t xml:space="preserve">L082</t>
  </si>
  <si>
    <t xml:space="preserve">L083</t>
  </si>
  <si>
    <t xml:space="preserve">Certidão de Regularidade do FGTS - CRF</t>
  </si>
  <si>
    <t xml:space="preserve">L084</t>
  </si>
  <si>
    <t xml:space="preserve">Certidão Negativa de Débitos Trabalhistas - CNDT</t>
  </si>
  <si>
    <t xml:space="preserve">L085</t>
  </si>
  <si>
    <t xml:space="preserve">Certidão Negativa De Distribuição Ações De Falências e Recuperações Judiciais</t>
  </si>
  <si>
    <t xml:space="preserve">Solicitação do cliente</t>
  </si>
  <si>
    <t xml:space="preserve">L086</t>
  </si>
  <si>
    <t xml:space="preserve">Certidão Negativa De Distribuição Especial Ações Cíveis e Criminais</t>
  </si>
  <si>
    <t xml:space="preserve">L087</t>
  </si>
  <si>
    <t xml:space="preserve">Sistema De Cadastramento Unificado De Fornecedores - SICAF</t>
  </si>
  <si>
    <t xml:space="preserve">L088</t>
  </si>
  <si>
    <t xml:space="preserve">L089</t>
  </si>
  <si>
    <t xml:space="preserve">L090</t>
  </si>
  <si>
    <t xml:space="preserve">Relatório de Atividades</t>
  </si>
  <si>
    <t xml:space="preserve">RELATORIO_DE_ATIVIDADES</t>
  </si>
  <si>
    <t xml:space="preserve">L091</t>
  </si>
  <si>
    <t xml:space="preserve">Termo de Recebimento Definitivo</t>
  </si>
  <si>
    <t xml:space="preserve">TRD</t>
  </si>
  <si>
    <t xml:space="preserve">L092</t>
  </si>
  <si>
    <t xml:space="preserve">Quando Necessário</t>
  </si>
  <si>
    <t xml:space="preserve">L093</t>
  </si>
  <si>
    <t xml:space="preserve">Comprovante de pagamento - Rescisão</t>
  </si>
  <si>
    <t xml:space="preserve">L094</t>
  </si>
  <si>
    <t xml:space="preserve">DCTFWEB GUIAS INSS E IR</t>
  </si>
  <si>
    <t xml:space="preserve">L095</t>
  </si>
  <si>
    <t xml:space="preserve">L096</t>
  </si>
  <si>
    <t xml:space="preserve">L097</t>
  </si>
  <si>
    <t xml:space="preserve">Exame Demissional</t>
  </si>
  <si>
    <t xml:space="preserve">L098</t>
  </si>
  <si>
    <t xml:space="preserve">L099</t>
  </si>
  <si>
    <t xml:space="preserve">COMPROVANTE DE PAGAMENTO DA FOLHA </t>
  </si>
  <si>
    <t xml:space="preserve">L100</t>
  </si>
  <si>
    <t xml:space="preserve">CONTRACHEQUES </t>
  </si>
  <si>
    <t xml:space="preserve">L101</t>
  </si>
  <si>
    <t xml:space="preserve">RELÁTORIO DE VALE ALIMENTAÇÃO </t>
  </si>
  <si>
    <t xml:space="preserve">L102</t>
  </si>
  <si>
    <t xml:space="preserve">COMPROVANTE DE PAGAMENTO - VALE ALIMENTAÇÃO </t>
  </si>
  <si>
    <t xml:space="preserve">COMPROVANTE_PG_ALIMENTAÇÃO</t>
  </si>
  <si>
    <t xml:space="preserve">L103</t>
  </si>
  <si>
    <t xml:space="preserve">RELÁTORIO DE VALE TRANSPORTE </t>
  </si>
  <si>
    <t xml:space="preserve">L104</t>
  </si>
  <si>
    <t xml:space="preserve">COMPROVANTE DE PAGAMENTO - VALE TRANSPORTE</t>
  </si>
  <si>
    <t xml:space="preserve">COMPROVANTE_PG_TRANSPORTE</t>
  </si>
  <si>
    <t xml:space="preserve">L105</t>
  </si>
  <si>
    <t xml:space="preserve">RELÁTORIO PLANO DE SAÚDE </t>
  </si>
  <si>
    <t xml:space="preserve">L106</t>
  </si>
  <si>
    <t xml:space="preserve">COMPROVANTE DE PAGAMENTO - PLANO DE SAÚDE </t>
  </si>
  <si>
    <t xml:space="preserve">L107</t>
  </si>
  <si>
    <t xml:space="preserve">DCTFWEB RELATÓRIO COMPLETO</t>
  </si>
  <si>
    <t xml:space="preserve">L108</t>
  </si>
  <si>
    <t xml:space="preserve">COMPROVANTE DE PAGAMENTO - INSS</t>
  </si>
  <si>
    <t xml:space="preserve">L109</t>
  </si>
  <si>
    <t xml:space="preserve">COMPROVANTE DE PAGAMENTO -  IRRF</t>
  </si>
  <si>
    <t xml:space="preserve">L110</t>
  </si>
  <si>
    <t xml:space="preserve">COLISÃO: mesma nomenclatura usada para dois documentos distintos</t>
  </si>
  <si>
    <t xml:space="preserve">L111</t>
  </si>
  <si>
    <t xml:space="preserve">COMPROVANTE DE PAGAMENTO - FGTS</t>
  </si>
  <si>
    <t xml:space="preserve">L112</t>
  </si>
  <si>
    <t xml:space="preserve">E-mail de Autorização da Emissão da NF </t>
  </si>
  <si>
    <t xml:space="preserve">E-MAIL_AUTORIZAÇÃO_EMISSÃO_NF</t>
  </si>
  <si>
    <t xml:space="preserve">L113</t>
  </si>
  <si>
    <t xml:space="preserve">Planilha de Faturamento</t>
  </si>
  <si>
    <t xml:space="preserve">L114</t>
  </si>
  <si>
    <t xml:space="preserve">L115</t>
  </si>
  <si>
    <t xml:space="preserve">L116</t>
  </si>
  <si>
    <t xml:space="preserve">L117</t>
  </si>
  <si>
    <t xml:space="preserve">L118</t>
  </si>
  <si>
    <t xml:space="preserve">L119</t>
  </si>
  <si>
    <t xml:space="preserve">L120</t>
  </si>
  <si>
    <t xml:space="preserve">L121</t>
  </si>
  <si>
    <t xml:space="preserve">L122</t>
  </si>
  <si>
    <t xml:space="preserve">L123</t>
  </si>
  <si>
    <t xml:space="preserve">L124</t>
  </si>
  <si>
    <t xml:space="preserve">TERRACAP</t>
  </si>
  <si>
    <t xml:space="preserve">Até o 9º dia útil</t>
  </si>
  <si>
    <t xml:space="preserve">L125</t>
  </si>
  <si>
    <t xml:space="preserve">L126</t>
  </si>
  <si>
    <t xml:space="preserve">RTA - Relatório Técnico De Atividades Faturamento</t>
  </si>
  <si>
    <t xml:space="preserve">RTA_RELATORIO_TECNICO_ATIVIDADES_DE_FATURAMENTO</t>
  </si>
  <si>
    <t xml:space="preserve">L127</t>
  </si>
  <si>
    <t xml:space="preserve">L128</t>
  </si>
  <si>
    <t xml:space="preserve">L129</t>
  </si>
  <si>
    <t xml:space="preserve">L130</t>
  </si>
  <si>
    <t xml:space="preserve">L131</t>
  </si>
  <si>
    <t xml:space="preserve">L132</t>
  </si>
  <si>
    <t xml:space="preserve">L133</t>
  </si>
  <si>
    <t xml:space="preserve">L134</t>
  </si>
  <si>
    <t xml:space="preserve">CND FALENCIA E RECUP JUD</t>
  </si>
  <si>
    <t xml:space="preserve">L135</t>
  </si>
  <si>
    <t xml:space="preserve">L136</t>
  </si>
  <si>
    <t xml:space="preserve">E-mail Autorização  Emissão NF </t>
  </si>
  <si>
    <t xml:space="preserve">E-MAIL_AUTORIZACAO_EMISSAO_NF</t>
  </si>
  <si>
    <t xml:space="preserve">L137</t>
  </si>
  <si>
    <t xml:space="preserve">L138</t>
  </si>
  <si>
    <t xml:space="preserve">L139</t>
  </si>
  <si>
    <t xml:space="preserve">L140</t>
  </si>
  <si>
    <t xml:space="preserve">L141</t>
  </si>
  <si>
    <t xml:space="preserve">L142</t>
  </si>
  <si>
    <t xml:space="preserve">L143</t>
  </si>
  <si>
    <t xml:space="preserve">Comprovante de Guia FGTS</t>
  </si>
  <si>
    <t xml:space="preserve">L144</t>
  </si>
  <si>
    <t xml:space="preserve">L145</t>
  </si>
  <si>
    <t xml:space="preserve">Comprovante de Folha de Pagamento</t>
  </si>
  <si>
    <t xml:space="preserve">L146</t>
  </si>
  <si>
    <t xml:space="preserve">L147</t>
  </si>
  <si>
    <t xml:space="preserve">RELACAO_DE_VA_VR</t>
  </si>
  <si>
    <t xml:space="preserve">L148</t>
  </si>
  <si>
    <t xml:space="preserve">RELACAO_PLANO_DE_SAÚDE</t>
  </si>
  <si>
    <t xml:space="preserve">L149</t>
  </si>
  <si>
    <t xml:space="preserve">L150</t>
  </si>
  <si>
    <t xml:space="preserve">Rescisão - Comprovante de pagamento</t>
  </si>
  <si>
    <t xml:space="preserve">L151</t>
  </si>
  <si>
    <t xml:space="preserve">RECIBO_DE_FERIAS</t>
  </si>
  <si>
    <t xml:space="preserve">L152</t>
  </si>
  <si>
    <t xml:space="preserve">Férias - Comprovante de pagamento</t>
  </si>
  <si>
    <t xml:space="preserve">COMPROVANTE_PG_FERIAS</t>
  </si>
  <si>
    <t xml:space="preserve">L153</t>
  </si>
  <si>
    <t xml:space="preserve">ADMISSÃO</t>
  </si>
  <si>
    <t xml:space="preserve">L154</t>
  </si>
  <si>
    <t xml:space="preserve">Movimentação De Pessoal</t>
  </si>
  <si>
    <t xml:space="preserve">MOVIMENTAÇÃO</t>
  </si>
  <si>
    <t xml:space="preserve">L155</t>
  </si>
  <si>
    <t xml:space="preserve">L156</t>
  </si>
  <si>
    <t xml:space="preserve">L157</t>
  </si>
  <si>
    <t xml:space="preserve">L158</t>
  </si>
  <si>
    <t xml:space="preserve">L159</t>
  </si>
  <si>
    <t xml:space="preserve">L160</t>
  </si>
  <si>
    <t xml:space="preserve">L161</t>
  </si>
  <si>
    <t xml:space="preserve">L162</t>
  </si>
  <si>
    <t xml:space="preserve">L163</t>
  </si>
  <si>
    <t xml:space="preserve">L164</t>
  </si>
  <si>
    <t xml:space="preserve">AVISO_PRÉVIO</t>
  </si>
  <si>
    <t xml:space="preserve">L165</t>
  </si>
  <si>
    <t xml:space="preserve">COMPETÊNCIA divergente: consta "Mês da Competência", esperado "Competência Anterior" | PERIODICIDADE em branco | PREVISÃO/fundamento em branco</t>
  </si>
  <si>
    <t xml:space="preserve">L166</t>
  </si>
  <si>
    <t xml:space="preserve">L167</t>
  </si>
  <si>
    <t xml:space="preserve">L168</t>
  </si>
  <si>
    <t xml:space="preserve">L169</t>
  </si>
  <si>
    <t xml:space="preserve">L170</t>
  </si>
  <si>
    <t xml:space="preserve">Comprovante de pagamento das férias</t>
  </si>
  <si>
    <t xml:space="preserve">L171</t>
  </si>
  <si>
    <t xml:space="preserve">Folha De Pagamento - 13º Salário</t>
  </si>
  <si>
    <t xml:space="preserve">FOPAGO_13º SALÁRIO</t>
  </si>
  <si>
    <t xml:space="preserve">PERIODICIDADE em branco | PREVISÃO/fundamento em branco | NOMENCLATURA com espaço/caractere irregular</t>
  </si>
  <si>
    <t xml:space="preserve">L172</t>
  </si>
  <si>
    <t xml:space="preserve">Comprovante de pagamento - 13º Salário</t>
  </si>
  <si>
    <t xml:space="preserve">L173</t>
  </si>
  <si>
    <t xml:space="preserve">DUPLICIDADE no mesmo contrato/evento | COMPETÊNCIA divergente: consta "Mês da Competência", esperado "Competência Anterior" | PERIODICIDADE em branco | PREVISÃO/fundamento em branco | PASTA "13º" para documento mensal — evento não declarado em campo próprio</t>
  </si>
  <si>
    <t xml:space="preserve">L174</t>
  </si>
  <si>
    <t xml:space="preserve">Comprovante de pagamento - INSS</t>
  </si>
  <si>
    <t xml:space="preserve">COMPETÊNCIA divergente: consta "Mês da Competência", esperado "Competência Anterior" | PERIODICIDADE em branco | PREVISÃO/fundamento em branco | PASTA "13º" para documento mensal — evento não declarado em campo próprio</t>
  </si>
  <si>
    <t xml:space="preserve">L175</t>
  </si>
  <si>
    <t xml:space="preserve">L176</t>
  </si>
  <si>
    <t xml:space="preserve">Comprovante de pagamento FGTS</t>
  </si>
  <si>
    <t xml:space="preserve">ATÉ O DIA 21</t>
  </si>
  <si>
    <t xml:space="preserve">DUPLICIDADE no mesmo contrato/evento | COMPETÊNCIA divergente: consta "Mês da Competência", esperado "Competência Anterior" | PERIODICIDADE em branco | PREVISÃO/fundamento em branco</t>
  </si>
  <si>
    <t xml:space="preserve">DIVERGENCIA</t>
  </si>
  <si>
    <t xml:space="preserve">ACAO</t>
  </si>
  <si>
    <t xml:space="preserve">SEMÂNTICA INVERTIDA: código diz "adesão", documento é "NÃO adesão"</t>
  </si>
  <si>
    <t xml:space="preserve">LINHA ÓRFÃ: sem contrato de origem</t>
  </si>
  <si>
    <t xml:space="preserve">COMPETÊNCIA em branco</t>
  </si>
  <si>
    <t xml:space="preserve">DESCRIÇÃO do documento em branco</t>
  </si>
  <si>
    <t xml:space="preserve">PASTA "13º" para documento mensal — evento não declarado em campo próprio</t>
  </si>
  <si>
    <t xml:space="preserve">Cobertura documental por contrato e família (contagem automática sobre a aba MATRIZ_EXIGIBILIDADE)</t>
  </si>
  <si>
    <t xml:space="preserve">Célula zerada = a família não é exigida naquele contrato. Confirmar se é correto ou se é lacuna do checklist (ver achado D09).</t>
  </si>
  <si>
    <t xml:space="preserve">TOTAL</t>
  </si>
  <si>
    <t xml:space="preserve">Regra</t>
  </si>
  <si>
    <t xml:space="preserve">Fontes cruzadas</t>
  </si>
  <si>
    <t xml:space="preserve">Falha que detecta</t>
  </si>
  <si>
    <t xml:space="preserve">Tolerância (preencher)</t>
  </si>
  <si>
    <t xml:space="preserve">Exceções previstas (preencher)</t>
  </si>
  <si>
    <t xml:space="preserve">R01</t>
  </si>
  <si>
    <t xml:space="preserve">Cobertura do plano de saúde</t>
  </si>
  <si>
    <t xml:space="preserve">BEN.RELACAO_PLANO_SAUDE x rubrica de desconto na FOL.FOPAG x BEN.COMPROVANTE_PLANO_SAUDE</t>
  </si>
  <si>
    <t xml:space="preserve">Profissional na relação sem desconto em folha, ou desconto sem cobertura</t>
  </si>
  <si>
    <t xml:space="preserve">R02</t>
  </si>
  <si>
    <t xml:space="preserve">Cobertura do FGTS</t>
  </si>
  <si>
    <t xml:space="preserve">FOL.FOPAG (base) x FGT.GUIA x FGT.EXTRATO x FGT.COMPROVANTE_PG</t>
  </si>
  <si>
    <t xml:space="preserve">Recolhimento sem individualização por trabalhador; base divergente</t>
  </si>
  <si>
    <t xml:space="preserve">R03</t>
  </si>
  <si>
    <t xml:space="preserve">Cobertura do INSS</t>
  </si>
  <si>
    <t xml:space="preserve">FOL.FOPAG x INS.DCTFWEB x INS.DARF x INS.COMPROVANTE_PG</t>
  </si>
  <si>
    <t xml:space="preserve">Guia paga em valor diferente do apurado na folha</t>
  </si>
  <si>
    <t xml:space="preserve">R04</t>
  </si>
  <si>
    <t xml:space="preserve">Completude da equipe</t>
  </si>
  <si>
    <t xml:space="preserve">OPE.RELACAO_ALOCADOS x FOL.FOPAG x FOL.CONTRACHEQUE (por profissional)</t>
  </si>
  <si>
    <t xml:space="preserve">Profissional faturado sem evidência de vínculo ou pagamento</t>
  </si>
  <si>
    <t xml:space="preserve">R05</t>
  </si>
  <si>
    <t xml:space="preserve">Aderência da medição</t>
  </si>
  <si>
    <t xml:space="preserve">OPE.RELATORIO_MEDICAO x OPE.FOLHA_PONTO x OPE.PLANILHA_MEDICAO</t>
  </si>
  <si>
    <t xml:space="preserve">Horas/postos faturados sem lastro de medição</t>
  </si>
  <si>
    <t xml:space="preserve">R06</t>
  </si>
  <si>
    <t xml:space="preserve">Vigência das certidões</t>
  </si>
  <si>
    <t xml:space="preserve">CER.* com data de validade na data de emissão da NF</t>
  </si>
  <si>
    <t xml:space="preserve">Certidão vencida no momento do ateste ou da emissão</t>
  </si>
  <si>
    <t xml:space="preserve">R07</t>
  </si>
  <si>
    <t xml:space="preserve">Cobertura de VA/VR e VT</t>
  </si>
  <si>
    <t xml:space="preserve">BEN.RELACAO_* x desconto/crédito na folha x comprovante x termo de não adesão</t>
  </si>
  <si>
    <t xml:space="preserve">Benefício pago sem relação, ou relação sem comprovante</t>
  </si>
  <si>
    <t xml:space="preserve">R08</t>
  </si>
  <si>
    <t xml:space="preserve">Fechamento de eventos de rescisão</t>
  </si>
  <si>
    <t xml:space="preserve">RES.TRCT x RES.COMPROVANTE_PG x FGT.GUIA_RESCISORIA x RES.ASO_DEMISSIONAL</t>
  </si>
  <si>
    <t xml:space="preserve">Rescisão no período sem conjunto documental completo</t>
  </si>
  <si>
    <t xml:space="preserve">R09</t>
  </si>
  <si>
    <t xml:space="preserve">Fechamento de férias</t>
  </si>
  <si>
    <t xml:space="preserve">FER.AVISO x FER.RECIBO x FER.COMPROVANTE_PG x FOL.FOPAG</t>
  </si>
  <si>
    <t xml:space="preserve">Férias concedidas sem recibo ou sem comprovante de pagamento</t>
  </si>
  <si>
    <t xml:space="preserve">R10</t>
  </si>
  <si>
    <t xml:space="preserve">Defasagem de competência</t>
  </si>
  <si>
    <t xml:space="preserve">Todo documento de FGTS/INSS/IRRF deve referir-se a M-1</t>
  </si>
  <si>
    <t xml:space="preserve">Documento anexado da competência errada</t>
  </si>
  <si>
    <t xml:space="preserve">R11</t>
  </si>
  <si>
    <t xml:space="preserve">Vinculação ao empenho</t>
  </si>
  <si>
    <t xml:space="preserve">OPE.EMPENHO x valor da OPE.PLANILHA_MEDICAO x FIS.NOTA_FISCAL</t>
  </si>
  <si>
    <t xml:space="preserve">Faturamento acima do saldo de empenho</t>
  </si>
  <si>
    <t xml:space="preserve">R12</t>
  </si>
  <si>
    <t xml:space="preserve">Relógio D+3</t>
  </si>
  <si>
    <t xml:space="preserve">OPE.ATESTE_RECEBIMENTO (data) x FIS.NOTA_FISCAL (data de emissão)</t>
  </si>
  <si>
    <t xml:space="preserve">Descumprimento da meta institucional de emissão em D+3</t>
  </si>
  <si>
    <t xml:space="preserve">Indicador</t>
  </si>
  <si>
    <t xml:space="preserve">Campo</t>
  </si>
  <si>
    <t xml:space="preserve">Para que serve</t>
  </si>
  <si>
    <t xml:space="preserve">Origem do valor</t>
  </si>
  <si>
    <t xml:space="preserve">Consequência de não ter</t>
  </si>
  <si>
    <t xml:space="preserve">C01</t>
  </si>
  <si>
    <t xml:space="preserve">Distinguir mensal, 13º, férias, rescisão e admissão</t>
  </si>
  <si>
    <t xml:space="preserve">Cadastro do tipo documental</t>
  </si>
  <si>
    <t xml:space="preserve">Documentos de eventos diferentes competem pela mesma linha do checklist</t>
  </si>
  <si>
    <t xml:space="preserve">C02</t>
  </si>
  <si>
    <t xml:space="preserve">Saber se a exigência é por contrato ou por profissional</t>
  </si>
  <si>
    <t xml:space="preserve">Impossível calcular completude ("faltam 3 de 42")</t>
  </si>
  <si>
    <t xml:space="preserve">C03</t>
  </si>
  <si>
    <t xml:space="preserve">Separar o que bloqueia o faturamento do que é regularizável</t>
  </si>
  <si>
    <t xml:space="preserve">Decisão da DAF por contrato</t>
  </si>
  <si>
    <t xml:space="preserve">Ou tudo bloqueia, ou nada bloqueia</t>
  </si>
  <si>
    <t xml:space="preserve">C04</t>
  </si>
  <si>
    <t xml:space="preserve">Defasagem do documento em relação à competência faturada</t>
  </si>
  <si>
    <t xml:space="preserve">Regra legal por tipo documental</t>
  </si>
  <si>
    <t xml:space="preserve">Busca do documento no mês errado</t>
  </si>
  <si>
    <t xml:space="preserve">C05</t>
  </si>
  <si>
    <t xml:space="preserve">PRAZO_ANCORA / TIPO_DIA / LIMITE</t>
  </si>
  <si>
    <t xml:space="preserve">Tornar o prazo computável e medir SLA por área</t>
  </si>
  <si>
    <t xml:space="preserve">Conversão do texto atual + calendário de feriados</t>
  </si>
  <si>
    <t xml:space="preserve">Sem alerta automático e sem apuração de atraso</t>
  </si>
  <si>
    <t xml:space="preserve">C06</t>
  </si>
  <si>
    <t xml:space="preserve">FUNDAMENTO</t>
  </si>
  <si>
    <t xml:space="preserve">Cláusula do edital/contrato ou norma que origina a exigência</t>
  </si>
  <si>
    <t xml:space="preserve">Leitura do contrato pela área de Contratos</t>
  </si>
  <si>
    <t xml:space="preserve">Sem rastreabilidade perante o cliente e órgãos de controle</t>
  </si>
  <si>
    <t xml:space="preserve">C07</t>
  </si>
  <si>
    <t xml:space="preserve">REPOSITORIO_MESTRE</t>
  </si>
  <si>
    <t xml:space="preserve">Definir onde está a evidência oficial (Cloud x Jira)</t>
  </si>
  <si>
    <t xml:space="preserve">Decisão de TI + DAF</t>
  </si>
  <si>
    <t xml:space="preserve">Conferência depende de onde a pessoa procurou</t>
  </si>
  <si>
    <t xml:space="preserve">C08</t>
  </si>
  <si>
    <t xml:space="preserve">CONDICIONALIDADE</t>
  </si>
  <si>
    <t xml:space="preserve">Expressar regras "A ou B" (ex.: relação de VT ou termo de não adesão)</t>
  </si>
  <si>
    <t xml:space="preserve">Pendência falsa em situações legítimas</t>
  </si>
  <si>
    <t xml:space="preserve">C09</t>
  </si>
  <si>
    <t xml:space="preserve">VIGENCIA_INICIO / VIGENCIA_FIM</t>
  </si>
  <si>
    <t xml:space="preserve">Registrar quando a exigência passou a valer (aditivos)</t>
  </si>
  <si>
    <t xml:space="preserve">Gestão contratual</t>
  </si>
  <si>
    <t xml:space="preserve">Reprocessar competência antiga com a regra errada</t>
  </si>
  <si>
    <t xml:space="preserve">C10</t>
  </si>
  <si>
    <t xml:space="preserve">CLASSIFICACAO_SIGILO</t>
  </si>
  <si>
    <t xml:space="preserve">Marcar o que contém dado pessoal ou sensível e o que pode ir ao cliente</t>
  </si>
  <si>
    <t xml:space="preserve">Política de classificação da informação</t>
  </si>
  <si>
    <t xml:space="preserve">Envio de dado além do necessário ao cliente (LGPD, art. 6º, III)</t>
  </si>
  <si>
    <t xml:space="preserve">C11</t>
  </si>
  <si>
    <t xml:space="preserve">RESPONSAVEL_SUBSTITUTO</t>
  </si>
  <si>
    <t xml:space="preserve">Escalonamento quando o responsável primário não atua no prazo</t>
  </si>
  <si>
    <t xml:space="preserve">Estrutura das áreas</t>
  </si>
  <si>
    <t xml:space="preserve">Pendência parada sem escalonamento</t>
  </si>
  <si>
    <t xml:space="preserve">C12</t>
  </si>
  <si>
    <t xml:space="preserve">EVENTO_ATESTE</t>
  </si>
  <si>
    <t xml:space="preserve">Data e forma do ateste formal do cliente</t>
  </si>
  <si>
    <t xml:space="preserve">Operação / gestor do contrato</t>
  </si>
  <si>
    <t xml:space="preserve">O D+3 da política não é apurável de forma objetiva</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</si>
</sst>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name val="Arial"/>
      <family val="0"/>
      <charset val="1"/>
    </font>
    <font>
      <sz val="10"/>
      <name val="Arial"/>
      <family val="0"/>
      <charset val="1"/>
    </font>
    <font>
      <b val="true"/>
      <sz val="10"/>
      <color rgb="FF1F3864"/>
      <name val="Arial"/>
      <family val="0"/>
      <charset val="1"/>
    </font>
    <font>
      <b val="true"/>
      <sz val="10"/>
      <color rgb="FFFFFFFF"/>
      <name val="Arial"/>
      <family val="0"/>
      <charset val="1"/>
    </font>
    <font>
      <i val="true"/>
      <sz val="10"/>
      <name val="Arial"/>
      <family val="0"/>
      <charset val="1"/>
    </font>
  </fonts>
  <fills count="7">
    <fill>
      <patternFill patternType="none"/>
    </fill>
    <fill>
      <patternFill patternType="gray125"/>
    </fill>
    <fill>
      <patternFill patternType="solid">
        <fgColor rgb="FFF2F2F2"/>
        <bgColor rgb="FFE2EFDA"/>
      </patternFill>
    </fill>
    <fill>
      <patternFill patternType="solid">
        <fgColor rgb="FFFFF2CC"/>
        <bgColor rgb="FFF2F2F2"/>
      </patternFill>
    </fill>
    <fill>
      <patternFill patternType="solid">
        <fgColor rgb="FFF8CBAD"/>
        <bgColor rgb="FFFFF2CC"/>
      </patternFill>
    </fill>
    <fill>
      <patternFill patternType="solid">
        <fgColor rgb="FFE2EFDA"/>
        <bgColor rgb="FFF2F2F2"/>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8" fillId="6"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5" borderId="1" xfId="0" applyFont="true" applyBorder="true" applyAlignment="true" applyProtection="false">
      <alignment horizontal="general" vertical="top" textRotation="0" wrapText="false" indent="0" shrinkToFit="false"/>
      <protection locked="true" hidden="false"/>
    </xf>
    <xf numFmtId="164" fontId="6" fillId="3" borderId="1" xfId="0" applyFont="true" applyBorder="true" applyAlignment="true" applyProtection="false">
      <alignment horizontal="general" vertical="top"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6"/>
    <col collapsed="false" customWidth="true" hidden="false" outlineLevel="0" max="3" min="3" style="0" width="78"/>
  </cols>
  <sheetData>
    <row r="2" customFormat="false" ht="17.35" hidden="false" customHeight="false" outlineLevel="0" collapsed="false">
      <c r="B2" s="1" t="s">
        <v>0</v>
      </c>
    </row>
    <row r="4" customFormat="false" ht="30" hidden="false" customHeight="true" outlineLevel="0" collapsed="false">
      <c r="B4" s="2" t="s">
        <v>1</v>
      </c>
      <c r="C4" s="3" t="s">
        <v>2</v>
      </c>
    </row>
    <row r="5" customFormat="false" ht="30" hidden="false" customHeight="true" outlineLevel="0" collapsed="false">
      <c r="B5" s="2" t="s">
        <v>3</v>
      </c>
      <c r="C5" s="3" t="s">
        <v>4</v>
      </c>
    </row>
    <row r="6" customFormat="false" ht="30" hidden="false" customHeight="true" outlineLevel="0" collapsed="false">
      <c r="B6" s="2" t="s">
        <v>5</v>
      </c>
      <c r="C6" s="3" t="s">
        <v>6</v>
      </c>
    </row>
    <row r="7" customFormat="false" ht="105" hidden="false" customHeight="true" outlineLevel="0" collapsed="false">
      <c r="B7" s="2" t="s">
        <v>7</v>
      </c>
      <c r="C7" s="3" t="s">
        <v>8</v>
      </c>
    </row>
    <row r="8" customFormat="false" ht="45" hidden="false" customHeight="true" outlineLevel="0" collapsed="false">
      <c r="B8" s="2" t="s">
        <v>9</v>
      </c>
      <c r="C8" s="3" t="s">
        <v>10</v>
      </c>
    </row>
    <row r="9" customFormat="false" ht="30" hidden="false" customHeight="true" outlineLevel="0" collapsed="false">
      <c r="B9" s="2" t="s">
        <v>11</v>
      </c>
      <c r="C9" s="3" t="s">
        <v>12</v>
      </c>
    </row>
    <row r="11" customFormat="false" ht="15" hidden="false" customHeight="false" outlineLevel="0" collapsed="false">
      <c r="B11" s="4" t="s">
        <v>13</v>
      </c>
    </row>
    <row r="12" customFormat="false" ht="45" hidden="false" customHeight="true" outlineLevel="0" collapsed="false">
      <c r="B12" s="5" t="s">
        <v>14</v>
      </c>
      <c r="C12" s="3" t="s">
        <v>15</v>
      </c>
    </row>
    <row r="13" customFormat="false" ht="45" hidden="false" customHeight="true" outlineLevel="0" collapsed="false">
      <c r="B13" s="5" t="s">
        <v>16</v>
      </c>
      <c r="C13" s="3" t="s">
        <v>17</v>
      </c>
    </row>
    <row r="14" customFormat="false" ht="30" hidden="false" customHeight="true" outlineLevel="0" collapsed="false">
      <c r="B14" s="5" t="s">
        <v>18</v>
      </c>
      <c r="C14" s="3" t="s">
        <v>19</v>
      </c>
    </row>
    <row r="15" customFormat="false" ht="30" hidden="false" customHeight="true" outlineLevel="0" collapsed="false">
      <c r="B15" s="5" t="s">
        <v>20</v>
      </c>
      <c r="C15" s="3" t="s">
        <v>21</v>
      </c>
    </row>
    <row r="16" customFormat="false" ht="30" hidden="false" customHeight="true" outlineLevel="0" collapsed="false">
      <c r="B16" s="5" t="s">
        <v>22</v>
      </c>
      <c r="C16" s="3" t="s">
        <v>23</v>
      </c>
    </row>
    <row r="18" customFormat="false" ht="15" hidden="false" customHeight="false" outlineLevel="0" collapsed="false">
      <c r="B18" s="4" t="s">
        <v>24</v>
      </c>
    </row>
    <row r="19" customFormat="false" ht="15" hidden="false" customHeight="false" outlineLevel="0" collapsed="false">
      <c r="B19" s="5" t="s">
        <v>25</v>
      </c>
      <c r="C19" s="3" t="s">
        <v>26</v>
      </c>
    </row>
    <row r="20" customFormat="false" ht="15" hidden="false" customHeight="false" outlineLevel="0" collapsed="false">
      <c r="B20" s="6" t="s">
        <v>27</v>
      </c>
      <c r="C20" s="3" t="s">
        <v>28</v>
      </c>
    </row>
    <row r="21" customFormat="false" ht="15" hidden="false" customHeight="false" outlineLevel="0" collapsed="false">
      <c r="B21" s="7" t="s">
        <v>29</v>
      </c>
      <c r="C21" s="3" t="s">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2"/>
    <col collapsed="false" customWidth="true" hidden="false" outlineLevel="0" max="3" min="3" style="0" width="40"/>
    <col collapsed="false" customWidth="true" hidden="false" outlineLevel="0" max="4" min="4" style="0" width="55"/>
    <col collapsed="false" customWidth="true" hidden="false" outlineLevel="0" max="5" min="5" style="0" width="48"/>
    <col collapsed="false" customWidth="true" hidden="false" outlineLevel="0" max="6" min="6" style="0" width="52"/>
  </cols>
  <sheetData>
    <row r="1" customFormat="false" ht="15" hidden="false" customHeight="false" outlineLevel="0" collapsed="false">
      <c r="A1" s="8" t="s">
        <v>31</v>
      </c>
      <c r="B1" s="8" t="s">
        <v>32</v>
      </c>
      <c r="C1" s="8" t="s">
        <v>33</v>
      </c>
      <c r="D1" s="8" t="s">
        <v>34</v>
      </c>
      <c r="E1" s="8" t="s">
        <v>35</v>
      </c>
      <c r="F1" s="8" t="s">
        <v>36</v>
      </c>
    </row>
    <row r="2" customFormat="false" ht="75" hidden="false" customHeight="true" outlineLevel="0" collapsed="false">
      <c r="A2" s="9" t="s">
        <v>37</v>
      </c>
      <c r="B2" s="6" t="s">
        <v>38</v>
      </c>
      <c r="C2" s="3" t="s">
        <v>39</v>
      </c>
      <c r="D2" s="3" t="s">
        <v>40</v>
      </c>
      <c r="E2" s="3" t="s">
        <v>41</v>
      </c>
      <c r="F2" s="3" t="s">
        <v>42</v>
      </c>
    </row>
    <row r="3" customFormat="false" ht="75" hidden="false" customHeight="true" outlineLevel="0" collapsed="false">
      <c r="A3" s="9" t="s">
        <v>43</v>
      </c>
      <c r="B3" s="6" t="s">
        <v>38</v>
      </c>
      <c r="C3" s="3" t="s">
        <v>44</v>
      </c>
      <c r="D3" s="3" t="s">
        <v>45</v>
      </c>
      <c r="E3" s="3" t="s">
        <v>46</v>
      </c>
      <c r="F3" s="3" t="s">
        <v>47</v>
      </c>
    </row>
    <row r="4" customFormat="false" ht="75" hidden="false" customHeight="true" outlineLevel="0" collapsed="false">
      <c r="A4" s="9" t="s">
        <v>48</v>
      </c>
      <c r="B4" s="6" t="s">
        <v>38</v>
      </c>
      <c r="C4" s="3" t="s">
        <v>49</v>
      </c>
      <c r="D4" s="3" t="s">
        <v>50</v>
      </c>
      <c r="E4" s="3" t="s">
        <v>51</v>
      </c>
      <c r="F4" s="3" t="s">
        <v>52</v>
      </c>
    </row>
    <row r="5" customFormat="false" ht="60" hidden="false" customHeight="true" outlineLevel="0" collapsed="false">
      <c r="A5" s="9" t="s">
        <v>53</v>
      </c>
      <c r="B5" s="5" t="s">
        <v>54</v>
      </c>
      <c r="C5" s="3" t="s">
        <v>55</v>
      </c>
      <c r="D5" s="3" t="s">
        <v>56</v>
      </c>
      <c r="E5" s="3" t="s">
        <v>57</v>
      </c>
      <c r="F5" s="3" t="s">
        <v>58</v>
      </c>
    </row>
    <row r="6" customFormat="false" ht="75" hidden="false" customHeight="true" outlineLevel="0" collapsed="false">
      <c r="A6" s="9" t="s">
        <v>59</v>
      </c>
      <c r="B6" s="5" t="s">
        <v>54</v>
      </c>
      <c r="C6" s="3" t="s">
        <v>60</v>
      </c>
      <c r="D6" s="3" t="s">
        <v>61</v>
      </c>
      <c r="E6" s="3" t="s">
        <v>62</v>
      </c>
      <c r="F6" s="3" t="s">
        <v>63</v>
      </c>
    </row>
    <row r="7" customFormat="false" ht="45" hidden="false" customHeight="true" outlineLevel="0" collapsed="false">
      <c r="A7" s="9" t="s">
        <v>64</v>
      </c>
      <c r="B7" s="5" t="s">
        <v>54</v>
      </c>
      <c r="C7" s="3" t="s">
        <v>65</v>
      </c>
      <c r="D7" s="3" t="s">
        <v>66</v>
      </c>
      <c r="E7" s="3" t="s">
        <v>67</v>
      </c>
      <c r="F7" s="3" t="s">
        <v>68</v>
      </c>
    </row>
    <row r="8" customFormat="false" ht="45" hidden="false" customHeight="true" outlineLevel="0" collapsed="false">
      <c r="A8" s="9" t="s">
        <v>69</v>
      </c>
      <c r="B8" s="5" t="s">
        <v>54</v>
      </c>
      <c r="C8" s="3" t="s">
        <v>70</v>
      </c>
      <c r="D8" s="3" t="s">
        <v>71</v>
      </c>
      <c r="E8" s="3" t="s">
        <v>72</v>
      </c>
      <c r="F8" s="3" t="s">
        <v>73</v>
      </c>
    </row>
    <row r="9" customFormat="false" ht="60" hidden="false" customHeight="true" outlineLevel="0" collapsed="false">
      <c r="A9" s="9" t="s">
        <v>74</v>
      </c>
      <c r="B9" s="5" t="s">
        <v>54</v>
      </c>
      <c r="C9" s="3" t="s">
        <v>75</v>
      </c>
      <c r="D9" s="3" t="s">
        <v>76</v>
      </c>
      <c r="E9" s="3" t="s">
        <v>77</v>
      </c>
      <c r="F9" s="3" t="s">
        <v>78</v>
      </c>
    </row>
    <row r="10" customFormat="false" ht="45" hidden="false" customHeight="true" outlineLevel="0" collapsed="false">
      <c r="A10" s="9" t="s">
        <v>79</v>
      </c>
      <c r="B10" s="5" t="s">
        <v>54</v>
      </c>
      <c r="C10" s="3" t="s">
        <v>80</v>
      </c>
      <c r="D10" s="3" t="s">
        <v>81</v>
      </c>
      <c r="E10" s="3" t="s">
        <v>82</v>
      </c>
      <c r="F10" s="3" t="s">
        <v>83</v>
      </c>
    </row>
    <row r="11" customFormat="false" ht="60" hidden="false" customHeight="true" outlineLevel="0" collapsed="false">
      <c r="A11" s="9" t="s">
        <v>84</v>
      </c>
      <c r="B11" s="9" t="s">
        <v>85</v>
      </c>
      <c r="C11" s="3" t="s">
        <v>86</v>
      </c>
      <c r="D11" s="3" t="s">
        <v>87</v>
      </c>
      <c r="E11" s="3" t="s">
        <v>88</v>
      </c>
      <c r="F11" s="3" t="s">
        <v>89</v>
      </c>
    </row>
    <row r="12" customFormat="false" ht="60" hidden="false" customHeight="true" outlineLevel="0" collapsed="false">
      <c r="A12" s="9" t="s">
        <v>90</v>
      </c>
      <c r="B12" s="9" t="s">
        <v>85</v>
      </c>
      <c r="C12" s="3" t="s">
        <v>91</v>
      </c>
      <c r="D12" s="3" t="s">
        <v>92</v>
      </c>
      <c r="E12" s="3" t="s">
        <v>93</v>
      </c>
      <c r="F12" s="3" t="s">
        <v>94</v>
      </c>
    </row>
    <row r="13" customFormat="false" ht="45" hidden="false" customHeight="true" outlineLevel="0" collapsed="false">
      <c r="A13" s="9" t="s">
        <v>95</v>
      </c>
      <c r="B13" s="9" t="s">
        <v>85</v>
      </c>
      <c r="C13" s="3" t="s">
        <v>96</v>
      </c>
      <c r="D13" s="3" t="s">
        <v>97</v>
      </c>
      <c r="E13" s="3" t="s">
        <v>98</v>
      </c>
      <c r="F13" s="3" t="s">
        <v>99</v>
      </c>
    </row>
    <row r="14" customFormat="false" ht="45" hidden="false" customHeight="true" outlineLevel="0" collapsed="false">
      <c r="A14" s="9" t="s">
        <v>100</v>
      </c>
      <c r="B14" s="9" t="s">
        <v>85</v>
      </c>
      <c r="C14" s="3" t="s">
        <v>101</v>
      </c>
      <c r="D14" s="3" t="s">
        <v>102</v>
      </c>
      <c r="E14" s="3" t="s">
        <v>103</v>
      </c>
      <c r="F14" s="3" t="s">
        <v>104</v>
      </c>
    </row>
    <row r="15" customFormat="false" ht="45" hidden="false" customHeight="true" outlineLevel="0" collapsed="false">
      <c r="A15" s="9" t="s">
        <v>105</v>
      </c>
      <c r="B15" s="9" t="s">
        <v>85</v>
      </c>
      <c r="C15" s="3" t="s">
        <v>106</v>
      </c>
      <c r="D15" s="3" t="s">
        <v>107</v>
      </c>
      <c r="E15" s="3" t="s">
        <v>108</v>
      </c>
      <c r="F15" s="3" t="s">
        <v>109</v>
      </c>
    </row>
    <row r="16" customFormat="false" ht="45" hidden="false" customHeight="true" outlineLevel="0" collapsed="false">
      <c r="A16" s="9" t="s">
        <v>110</v>
      </c>
      <c r="B16" s="9" t="s">
        <v>85</v>
      </c>
      <c r="C16" s="3" t="s">
        <v>111</v>
      </c>
      <c r="D16" s="3" t="s">
        <v>112</v>
      </c>
      <c r="E16" s="3" t="s">
        <v>113</v>
      </c>
      <c r="F16" s="3" t="s">
        <v>114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4"/>
    <col collapsed="false" customWidth="true" hidden="false" outlineLevel="0" max="3" min="3" style="0" width="22"/>
    <col collapsed="false" customWidth="true" hidden="false" outlineLevel="0" max="4" min="4" style="0" width="15"/>
    <col collapsed="false" customWidth="true" hidden="false" outlineLevel="0" max="5" min="5" style="0" width="12"/>
    <col collapsed="false" customWidth="true" hidden="false" outlineLevel="0" max="6" min="6" style="0" width="14"/>
    <col collapsed="false" customWidth="true" hidden="false" outlineLevel="0" max="7" min="7" style="0" width="13"/>
    <col collapsed="false" customWidth="true" hidden="false" outlineLevel="0" max="8" min="8" style="0" width="15"/>
    <col collapsed="false" customWidth="true" hidden="false" outlineLevel="0" max="9" min="9" style="0" width="34"/>
    <col collapsed="false" customWidth="true" hidden="false" outlineLevel="0" max="10" min="10" style="0" width="60"/>
    <col collapsed="false" customWidth="true" hidden="false" outlineLevel="0" max="11" min="11" style="0" width="26"/>
  </cols>
  <sheetData>
    <row r="1" customFormat="false" ht="23.85" hidden="false" customHeight="false" outlineLevel="0" collapsed="false">
      <c r="A1" s="8" t="s">
        <v>115</v>
      </c>
      <c r="B1" s="8" t="s">
        <v>116</v>
      </c>
      <c r="C1" s="8" t="s">
        <v>117</v>
      </c>
      <c r="D1" s="8" t="s">
        <v>118</v>
      </c>
      <c r="E1" s="8" t="s">
        <v>119</v>
      </c>
      <c r="F1" s="8" t="s">
        <v>120</v>
      </c>
      <c r="G1" s="8" t="s">
        <v>121</v>
      </c>
      <c r="H1" s="8" t="s">
        <v>122</v>
      </c>
      <c r="I1" s="8" t="s">
        <v>123</v>
      </c>
      <c r="J1" s="8" t="s">
        <v>124</v>
      </c>
      <c r="K1" s="8" t="s">
        <v>125</v>
      </c>
    </row>
    <row r="2" customFormat="false" ht="60" hidden="false" customHeight="true" outlineLevel="0" collapsed="false">
      <c r="A2" s="9" t="s">
        <v>126</v>
      </c>
      <c r="B2" s="3" t="s">
        <v>127</v>
      </c>
      <c r="C2" s="3" t="s">
        <v>128</v>
      </c>
      <c r="D2" s="10" t="s">
        <v>129</v>
      </c>
      <c r="E2" s="10" t="s">
        <v>130</v>
      </c>
      <c r="F2" s="10" t="s">
        <v>131</v>
      </c>
      <c r="G2" s="3" t="s">
        <v>132</v>
      </c>
      <c r="H2" s="10" t="s">
        <v>133</v>
      </c>
      <c r="I2" s="3" t="s">
        <v>134</v>
      </c>
      <c r="J2" s="3" t="s">
        <v>135</v>
      </c>
      <c r="K2" s="11"/>
    </row>
    <row r="3" customFormat="false" ht="30" hidden="false" customHeight="true" outlineLevel="0" collapsed="false">
      <c r="A3" s="9" t="s">
        <v>136</v>
      </c>
      <c r="B3" s="3" t="s">
        <v>137</v>
      </c>
      <c r="C3" s="3" t="s">
        <v>128</v>
      </c>
      <c r="D3" s="10" t="s">
        <v>129</v>
      </c>
      <c r="E3" s="10" t="s">
        <v>130</v>
      </c>
      <c r="F3" s="10" t="s">
        <v>131</v>
      </c>
      <c r="G3" s="3" t="s">
        <v>132</v>
      </c>
      <c r="H3" s="10" t="s">
        <v>133</v>
      </c>
      <c r="I3" s="3" t="s">
        <v>138</v>
      </c>
      <c r="J3" s="3" t="s">
        <v>139</v>
      </c>
      <c r="K3" s="11"/>
    </row>
    <row r="4" customFormat="false" ht="30" hidden="false" customHeight="true" outlineLevel="0" collapsed="false">
      <c r="A4" s="9" t="s">
        <v>140</v>
      </c>
      <c r="B4" s="3" t="s">
        <v>141</v>
      </c>
      <c r="C4" s="3" t="s">
        <v>128</v>
      </c>
      <c r="D4" s="10" t="s">
        <v>129</v>
      </c>
      <c r="E4" s="10" t="s">
        <v>130</v>
      </c>
      <c r="F4" s="10" t="s">
        <v>131</v>
      </c>
      <c r="G4" s="3" t="s">
        <v>132</v>
      </c>
      <c r="H4" s="10" t="s">
        <v>133</v>
      </c>
      <c r="I4" s="3" t="s">
        <v>142</v>
      </c>
      <c r="J4" s="3" t="s">
        <v>143</v>
      </c>
      <c r="K4" s="11"/>
    </row>
    <row r="5" customFormat="false" ht="30" hidden="false" customHeight="true" outlineLevel="0" collapsed="false">
      <c r="A5" s="9" t="s">
        <v>144</v>
      </c>
      <c r="B5" s="3" t="s">
        <v>145</v>
      </c>
      <c r="C5" s="3" t="s">
        <v>128</v>
      </c>
      <c r="D5" s="10" t="s">
        <v>129</v>
      </c>
      <c r="E5" s="10" t="s">
        <v>130</v>
      </c>
      <c r="F5" s="10" t="s">
        <v>131</v>
      </c>
      <c r="G5" s="3" t="s">
        <v>146</v>
      </c>
      <c r="H5" s="10" t="s">
        <v>133</v>
      </c>
      <c r="I5" s="3" t="s">
        <v>147</v>
      </c>
      <c r="J5" s="3" t="s">
        <v>148</v>
      </c>
      <c r="K5" s="11"/>
    </row>
    <row r="6" customFormat="false" ht="30" hidden="false" customHeight="true" outlineLevel="0" collapsed="false">
      <c r="A6" s="9" t="s">
        <v>149</v>
      </c>
      <c r="B6" s="3" t="s">
        <v>150</v>
      </c>
      <c r="C6" s="3" t="s">
        <v>128</v>
      </c>
      <c r="D6" s="10" t="s">
        <v>129</v>
      </c>
      <c r="E6" s="10" t="s">
        <v>130</v>
      </c>
      <c r="F6" s="10" t="s">
        <v>131</v>
      </c>
      <c r="G6" s="3" t="s">
        <v>146</v>
      </c>
      <c r="H6" s="10" t="s">
        <v>133</v>
      </c>
      <c r="I6" s="3" t="s">
        <v>151</v>
      </c>
      <c r="J6" s="3" t="s">
        <v>152</v>
      </c>
      <c r="K6" s="11"/>
    </row>
    <row r="7" customFormat="false" ht="30" hidden="false" customHeight="true" outlineLevel="0" collapsed="false">
      <c r="A7" s="9" t="s">
        <v>153</v>
      </c>
      <c r="B7" s="3" t="s">
        <v>154</v>
      </c>
      <c r="C7" s="3" t="s">
        <v>128</v>
      </c>
      <c r="D7" s="10" t="s">
        <v>129</v>
      </c>
      <c r="E7" s="10" t="s">
        <v>130</v>
      </c>
      <c r="F7" s="10" t="s">
        <v>131</v>
      </c>
      <c r="G7" s="3" t="s">
        <v>132</v>
      </c>
      <c r="H7" s="10" t="s">
        <v>133</v>
      </c>
      <c r="I7" s="3" t="s">
        <v>151</v>
      </c>
      <c r="J7" s="3" t="s">
        <v>155</v>
      </c>
      <c r="K7" s="11"/>
    </row>
    <row r="8" customFormat="false" ht="30" hidden="false" customHeight="true" outlineLevel="0" collapsed="false">
      <c r="A8" s="9" t="s">
        <v>156</v>
      </c>
      <c r="B8" s="3" t="s">
        <v>157</v>
      </c>
      <c r="C8" s="3" t="s">
        <v>128</v>
      </c>
      <c r="D8" s="10" t="s">
        <v>129</v>
      </c>
      <c r="E8" s="10" t="s">
        <v>130</v>
      </c>
      <c r="F8" s="10" t="s">
        <v>131</v>
      </c>
      <c r="G8" s="3" t="s">
        <v>132</v>
      </c>
      <c r="H8" s="10" t="s">
        <v>158</v>
      </c>
      <c r="I8" s="3" t="s">
        <v>159</v>
      </c>
      <c r="J8" s="3" t="s">
        <v>160</v>
      </c>
      <c r="K8" s="11"/>
    </row>
    <row r="9" customFormat="false" ht="30" hidden="false" customHeight="true" outlineLevel="0" collapsed="false">
      <c r="A9" s="9" t="s">
        <v>161</v>
      </c>
      <c r="B9" s="3" t="s">
        <v>162</v>
      </c>
      <c r="C9" s="3" t="s">
        <v>128</v>
      </c>
      <c r="D9" s="10" t="s">
        <v>163</v>
      </c>
      <c r="E9" s="10" t="s">
        <v>130</v>
      </c>
      <c r="F9" s="10" t="s">
        <v>131</v>
      </c>
      <c r="G9" s="3" t="s">
        <v>164</v>
      </c>
      <c r="H9" s="10" t="s">
        <v>133</v>
      </c>
      <c r="I9" s="3" t="s">
        <v>165</v>
      </c>
      <c r="J9" s="3" t="s">
        <v>166</v>
      </c>
      <c r="K9" s="11"/>
    </row>
    <row r="10" customFormat="false" ht="30" hidden="false" customHeight="true" outlineLevel="0" collapsed="false">
      <c r="A10" s="9" t="s">
        <v>167</v>
      </c>
      <c r="B10" s="3" t="s">
        <v>168</v>
      </c>
      <c r="C10" s="3" t="s">
        <v>128</v>
      </c>
      <c r="D10" s="10" t="s">
        <v>129</v>
      </c>
      <c r="E10" s="10" t="s">
        <v>169</v>
      </c>
      <c r="F10" s="10" t="s">
        <v>131</v>
      </c>
      <c r="G10" s="3" t="s">
        <v>164</v>
      </c>
      <c r="H10" s="10" t="s">
        <v>158</v>
      </c>
      <c r="I10" s="3" t="s">
        <v>170</v>
      </c>
      <c r="J10" s="3" t="s">
        <v>171</v>
      </c>
      <c r="K10" s="11"/>
    </row>
    <row r="11" customFormat="false" ht="30" hidden="false" customHeight="true" outlineLevel="0" collapsed="false">
      <c r="A11" s="9" t="s">
        <v>172</v>
      </c>
      <c r="B11" s="3" t="s">
        <v>173</v>
      </c>
      <c r="C11" s="3" t="s">
        <v>174</v>
      </c>
      <c r="D11" s="10" t="s">
        <v>129</v>
      </c>
      <c r="E11" s="10" t="s">
        <v>130</v>
      </c>
      <c r="F11" s="10" t="s">
        <v>131</v>
      </c>
      <c r="G11" s="3" t="s">
        <v>175</v>
      </c>
      <c r="H11" s="10" t="s">
        <v>133</v>
      </c>
      <c r="I11" s="3" t="s">
        <v>176</v>
      </c>
      <c r="J11" s="3" t="s">
        <v>177</v>
      </c>
      <c r="K11" s="11"/>
    </row>
    <row r="12" customFormat="false" ht="30" hidden="false" customHeight="true" outlineLevel="0" collapsed="false">
      <c r="A12" s="9" t="s">
        <v>178</v>
      </c>
      <c r="B12" s="3" t="s">
        <v>179</v>
      </c>
      <c r="C12" s="3" t="s">
        <v>174</v>
      </c>
      <c r="D12" s="10" t="s">
        <v>129</v>
      </c>
      <c r="E12" s="10" t="s">
        <v>130</v>
      </c>
      <c r="F12" s="10" t="s">
        <v>131</v>
      </c>
      <c r="G12" s="3" t="s">
        <v>175</v>
      </c>
      <c r="H12" s="10" t="s">
        <v>133</v>
      </c>
      <c r="I12" s="3" t="s">
        <v>180</v>
      </c>
      <c r="J12" s="3" t="s">
        <v>181</v>
      </c>
      <c r="K12" s="11"/>
    </row>
    <row r="13" customFormat="false" ht="30" hidden="false" customHeight="true" outlineLevel="0" collapsed="false">
      <c r="A13" s="9" t="s">
        <v>182</v>
      </c>
      <c r="B13" s="3" t="s">
        <v>183</v>
      </c>
      <c r="C13" s="3" t="s">
        <v>174</v>
      </c>
      <c r="D13" s="10" t="s">
        <v>129</v>
      </c>
      <c r="E13" s="10" t="s">
        <v>130</v>
      </c>
      <c r="F13" s="10" t="s">
        <v>131</v>
      </c>
      <c r="G13" s="3" t="s">
        <v>175</v>
      </c>
      <c r="H13" s="10" t="s">
        <v>133</v>
      </c>
      <c r="I13" s="3" t="s">
        <v>176</v>
      </c>
      <c r="J13" s="3" t="s">
        <v>184</v>
      </c>
      <c r="K13" s="11"/>
    </row>
    <row r="14" customFormat="false" ht="30" hidden="false" customHeight="true" outlineLevel="0" collapsed="false">
      <c r="A14" s="9" t="s">
        <v>185</v>
      </c>
      <c r="B14" s="3" t="s">
        <v>186</v>
      </c>
      <c r="C14" s="3" t="s">
        <v>187</v>
      </c>
      <c r="D14" s="10" t="s">
        <v>129</v>
      </c>
      <c r="E14" s="10" t="s">
        <v>130</v>
      </c>
      <c r="F14" s="10" t="s">
        <v>188</v>
      </c>
      <c r="G14" s="3" t="s">
        <v>175</v>
      </c>
      <c r="H14" s="10" t="s">
        <v>133</v>
      </c>
      <c r="I14" s="3" t="s">
        <v>189</v>
      </c>
      <c r="J14" s="3" t="s">
        <v>190</v>
      </c>
      <c r="K14" s="11"/>
    </row>
    <row r="15" customFormat="false" ht="30" hidden="false" customHeight="true" outlineLevel="0" collapsed="false">
      <c r="A15" s="9" t="s">
        <v>191</v>
      </c>
      <c r="B15" s="3" t="s">
        <v>192</v>
      </c>
      <c r="C15" s="3" t="s">
        <v>187</v>
      </c>
      <c r="D15" s="10" t="s">
        <v>129</v>
      </c>
      <c r="E15" s="10" t="s">
        <v>130</v>
      </c>
      <c r="F15" s="10" t="s">
        <v>188</v>
      </c>
      <c r="G15" s="3" t="s">
        <v>175</v>
      </c>
      <c r="H15" s="10" t="s">
        <v>133</v>
      </c>
      <c r="I15" s="3" t="s">
        <v>189</v>
      </c>
      <c r="J15" s="3" t="s">
        <v>193</v>
      </c>
      <c r="K15" s="11"/>
    </row>
    <row r="16" customFormat="false" ht="30" hidden="false" customHeight="true" outlineLevel="0" collapsed="false">
      <c r="A16" s="9" t="s">
        <v>194</v>
      </c>
      <c r="B16" s="3" t="s">
        <v>195</v>
      </c>
      <c r="C16" s="3" t="s">
        <v>187</v>
      </c>
      <c r="D16" s="10" t="s">
        <v>129</v>
      </c>
      <c r="E16" s="10" t="s">
        <v>130</v>
      </c>
      <c r="F16" s="10" t="s">
        <v>188</v>
      </c>
      <c r="G16" s="3" t="s">
        <v>175</v>
      </c>
      <c r="H16" s="10" t="s">
        <v>133</v>
      </c>
      <c r="I16" s="3" t="s">
        <v>189</v>
      </c>
      <c r="J16" s="3" t="s">
        <v>196</v>
      </c>
      <c r="K16" s="11"/>
    </row>
    <row r="17" customFormat="false" ht="30" hidden="false" customHeight="true" outlineLevel="0" collapsed="false">
      <c r="A17" s="9" t="s">
        <v>197</v>
      </c>
      <c r="B17" s="3" t="s">
        <v>198</v>
      </c>
      <c r="C17" s="3" t="s">
        <v>187</v>
      </c>
      <c r="D17" s="10" t="s">
        <v>129</v>
      </c>
      <c r="E17" s="10" t="s">
        <v>130</v>
      </c>
      <c r="F17" s="10" t="s">
        <v>188</v>
      </c>
      <c r="G17" s="3" t="s">
        <v>175</v>
      </c>
      <c r="H17" s="10" t="s">
        <v>133</v>
      </c>
      <c r="I17" s="3" t="s">
        <v>199</v>
      </c>
      <c r="J17" s="3" t="s">
        <v>200</v>
      </c>
      <c r="K17" s="11"/>
    </row>
    <row r="18" customFormat="false" ht="30" hidden="false" customHeight="true" outlineLevel="0" collapsed="false">
      <c r="A18" s="9" t="s">
        <v>201</v>
      </c>
      <c r="B18" s="3" t="s">
        <v>202</v>
      </c>
      <c r="C18" s="3" t="s">
        <v>187</v>
      </c>
      <c r="D18" s="10" t="s">
        <v>129</v>
      </c>
      <c r="E18" s="10" t="s">
        <v>130</v>
      </c>
      <c r="F18" s="10" t="s">
        <v>188</v>
      </c>
      <c r="G18" s="3" t="s">
        <v>175</v>
      </c>
      <c r="H18" s="10" t="s">
        <v>133</v>
      </c>
      <c r="I18" s="3" t="s">
        <v>189</v>
      </c>
      <c r="J18" s="3" t="s">
        <v>203</v>
      </c>
      <c r="K18" s="11"/>
    </row>
    <row r="19" customFormat="false" ht="30" hidden="false" customHeight="true" outlineLevel="0" collapsed="false">
      <c r="A19" s="9" t="s">
        <v>204</v>
      </c>
      <c r="B19" s="3" t="s">
        <v>205</v>
      </c>
      <c r="C19" s="3" t="s">
        <v>187</v>
      </c>
      <c r="D19" s="10" t="s">
        <v>129</v>
      </c>
      <c r="E19" s="10" t="s">
        <v>130</v>
      </c>
      <c r="F19" s="10" t="s">
        <v>188</v>
      </c>
      <c r="G19" s="3" t="s">
        <v>175</v>
      </c>
      <c r="H19" s="10" t="s">
        <v>133</v>
      </c>
      <c r="I19" s="3" t="s">
        <v>199</v>
      </c>
      <c r="J19" s="3" t="s">
        <v>206</v>
      </c>
      <c r="K19" s="11"/>
    </row>
    <row r="20" customFormat="false" ht="30" hidden="false" customHeight="true" outlineLevel="0" collapsed="false">
      <c r="A20" s="9" t="s">
        <v>207</v>
      </c>
      <c r="B20" s="3" t="s">
        <v>208</v>
      </c>
      <c r="C20" s="3" t="s">
        <v>187</v>
      </c>
      <c r="D20" s="10" t="s">
        <v>129</v>
      </c>
      <c r="E20" s="10" t="s">
        <v>130</v>
      </c>
      <c r="F20" s="10" t="s">
        <v>188</v>
      </c>
      <c r="G20" s="3" t="s">
        <v>175</v>
      </c>
      <c r="H20" s="10" t="s">
        <v>133</v>
      </c>
      <c r="I20" s="3" t="s">
        <v>199</v>
      </c>
      <c r="J20" s="3" t="s">
        <v>209</v>
      </c>
      <c r="K20" s="11"/>
    </row>
    <row r="21" customFormat="false" ht="30" hidden="false" customHeight="true" outlineLevel="0" collapsed="false">
      <c r="A21" s="9" t="s">
        <v>210</v>
      </c>
      <c r="B21" s="3" t="s">
        <v>211</v>
      </c>
      <c r="C21" s="3" t="s">
        <v>212</v>
      </c>
      <c r="D21" s="10" t="s">
        <v>129</v>
      </c>
      <c r="E21" s="10" t="s">
        <v>130</v>
      </c>
      <c r="F21" s="10" t="s">
        <v>131</v>
      </c>
      <c r="G21" s="3" t="s">
        <v>164</v>
      </c>
      <c r="H21" s="10" t="s">
        <v>133</v>
      </c>
      <c r="I21" s="3" t="s">
        <v>213</v>
      </c>
      <c r="J21" s="3" t="s">
        <v>214</v>
      </c>
      <c r="K21" s="11"/>
    </row>
    <row r="22" customFormat="false" ht="30" hidden="false" customHeight="true" outlineLevel="0" collapsed="false">
      <c r="A22" s="9" t="s">
        <v>215</v>
      </c>
      <c r="B22" s="3" t="s">
        <v>216</v>
      </c>
      <c r="C22" s="3" t="s">
        <v>212</v>
      </c>
      <c r="D22" s="10" t="s">
        <v>129</v>
      </c>
      <c r="E22" s="10" t="s">
        <v>130</v>
      </c>
      <c r="F22" s="10" t="s">
        <v>131</v>
      </c>
      <c r="G22" s="3" t="s">
        <v>175</v>
      </c>
      <c r="H22" s="10" t="s">
        <v>133</v>
      </c>
      <c r="I22" s="3" t="s">
        <v>213</v>
      </c>
      <c r="J22" s="3" t="s">
        <v>217</v>
      </c>
      <c r="K22" s="11"/>
    </row>
    <row r="23" customFormat="false" ht="30" hidden="false" customHeight="true" outlineLevel="0" collapsed="false">
      <c r="A23" s="9" t="s">
        <v>218</v>
      </c>
      <c r="B23" s="3" t="s">
        <v>219</v>
      </c>
      <c r="C23" s="3" t="s">
        <v>212</v>
      </c>
      <c r="D23" s="10" t="s">
        <v>163</v>
      </c>
      <c r="E23" s="10" t="s">
        <v>130</v>
      </c>
      <c r="F23" s="10" t="s">
        <v>131</v>
      </c>
      <c r="G23" s="3" t="s">
        <v>164</v>
      </c>
      <c r="H23" s="10" t="s">
        <v>133</v>
      </c>
      <c r="I23" s="3" t="s">
        <v>220</v>
      </c>
      <c r="J23" s="3" t="s">
        <v>221</v>
      </c>
      <c r="K23" s="11"/>
    </row>
    <row r="24" customFormat="false" ht="30" hidden="false" customHeight="true" outlineLevel="0" collapsed="false">
      <c r="A24" s="9" t="s">
        <v>222</v>
      </c>
      <c r="B24" s="3" t="s">
        <v>223</v>
      </c>
      <c r="C24" s="3" t="s">
        <v>224</v>
      </c>
      <c r="D24" s="10" t="s">
        <v>129</v>
      </c>
      <c r="E24" s="10" t="s">
        <v>225</v>
      </c>
      <c r="F24" s="10" t="s">
        <v>131</v>
      </c>
      <c r="G24" s="3" t="s">
        <v>164</v>
      </c>
      <c r="H24" s="10" t="s">
        <v>133</v>
      </c>
      <c r="I24" s="3" t="s">
        <v>226</v>
      </c>
      <c r="J24" s="3" t="s">
        <v>227</v>
      </c>
      <c r="K24" s="11"/>
    </row>
    <row r="25" customFormat="false" ht="30" hidden="false" customHeight="true" outlineLevel="0" collapsed="false">
      <c r="A25" s="9" t="s">
        <v>228</v>
      </c>
      <c r="B25" s="3" t="s">
        <v>229</v>
      </c>
      <c r="C25" s="3" t="s">
        <v>224</v>
      </c>
      <c r="D25" s="10" t="s">
        <v>129</v>
      </c>
      <c r="E25" s="10" t="s">
        <v>225</v>
      </c>
      <c r="F25" s="10" t="s">
        <v>131</v>
      </c>
      <c r="G25" s="3" t="s">
        <v>175</v>
      </c>
      <c r="H25" s="10" t="s">
        <v>133</v>
      </c>
      <c r="I25" s="3" t="s">
        <v>170</v>
      </c>
      <c r="J25" s="3" t="s">
        <v>230</v>
      </c>
      <c r="K25" s="11"/>
    </row>
    <row r="26" customFormat="false" ht="30" hidden="false" customHeight="true" outlineLevel="0" collapsed="false">
      <c r="A26" s="9" t="s">
        <v>231</v>
      </c>
      <c r="B26" s="3" t="s">
        <v>232</v>
      </c>
      <c r="C26" s="3" t="s">
        <v>233</v>
      </c>
      <c r="D26" s="10" t="s">
        <v>129</v>
      </c>
      <c r="E26" s="10" t="s">
        <v>130</v>
      </c>
      <c r="F26" s="10" t="s">
        <v>234</v>
      </c>
      <c r="G26" s="3" t="s">
        <v>164</v>
      </c>
      <c r="H26" s="10" t="s">
        <v>133</v>
      </c>
      <c r="I26" s="3" t="s">
        <v>213</v>
      </c>
      <c r="J26" s="3" t="s">
        <v>235</v>
      </c>
      <c r="K26" s="11"/>
    </row>
    <row r="27" customFormat="false" ht="30" hidden="false" customHeight="true" outlineLevel="0" collapsed="false">
      <c r="A27" s="9" t="s">
        <v>236</v>
      </c>
      <c r="B27" s="3" t="s">
        <v>237</v>
      </c>
      <c r="C27" s="3" t="s">
        <v>233</v>
      </c>
      <c r="D27" s="10" t="s">
        <v>129</v>
      </c>
      <c r="E27" s="10" t="s">
        <v>130</v>
      </c>
      <c r="F27" s="10" t="s">
        <v>234</v>
      </c>
      <c r="G27" s="3" t="s">
        <v>175</v>
      </c>
      <c r="H27" s="10" t="s">
        <v>133</v>
      </c>
      <c r="I27" s="3" t="s">
        <v>213</v>
      </c>
      <c r="J27" s="3" t="s">
        <v>238</v>
      </c>
      <c r="K27" s="11"/>
    </row>
    <row r="28" customFormat="false" ht="30" hidden="false" customHeight="true" outlineLevel="0" collapsed="false">
      <c r="A28" s="9" t="s">
        <v>239</v>
      </c>
      <c r="B28" s="3" t="s">
        <v>240</v>
      </c>
      <c r="C28" s="3" t="s">
        <v>233</v>
      </c>
      <c r="D28" s="10" t="s">
        <v>163</v>
      </c>
      <c r="E28" s="10" t="s">
        <v>130</v>
      </c>
      <c r="F28" s="10" t="s">
        <v>234</v>
      </c>
      <c r="G28" s="3" t="s">
        <v>164</v>
      </c>
      <c r="H28" s="10" t="s">
        <v>133</v>
      </c>
      <c r="I28" s="3" t="s">
        <v>241</v>
      </c>
      <c r="J28" s="3" t="s">
        <v>242</v>
      </c>
      <c r="K28" s="11"/>
    </row>
    <row r="29" customFormat="false" ht="30" hidden="false" customHeight="true" outlineLevel="0" collapsed="false">
      <c r="A29" s="9" t="s">
        <v>243</v>
      </c>
      <c r="B29" s="3" t="s">
        <v>244</v>
      </c>
      <c r="C29" s="3" t="s">
        <v>233</v>
      </c>
      <c r="D29" s="10" t="s">
        <v>163</v>
      </c>
      <c r="E29" s="10" t="s">
        <v>130</v>
      </c>
      <c r="F29" s="10" t="s">
        <v>234</v>
      </c>
      <c r="G29" s="3" t="s">
        <v>164</v>
      </c>
      <c r="H29" s="10" t="s">
        <v>133</v>
      </c>
      <c r="I29" s="3" t="s">
        <v>245</v>
      </c>
      <c r="J29" s="3" t="s">
        <v>246</v>
      </c>
      <c r="K29" s="11"/>
    </row>
    <row r="30" customFormat="false" ht="30" hidden="false" customHeight="true" outlineLevel="0" collapsed="false">
      <c r="A30" s="9" t="s">
        <v>247</v>
      </c>
      <c r="B30" s="3" t="s">
        <v>248</v>
      </c>
      <c r="C30" s="3" t="s">
        <v>233</v>
      </c>
      <c r="D30" s="10" t="s">
        <v>163</v>
      </c>
      <c r="E30" s="10" t="s">
        <v>249</v>
      </c>
      <c r="F30" s="10" t="s">
        <v>250</v>
      </c>
      <c r="G30" s="3" t="s">
        <v>164</v>
      </c>
      <c r="H30" s="10" t="s">
        <v>133</v>
      </c>
      <c r="I30" s="3" t="s">
        <v>226</v>
      </c>
      <c r="J30" s="3" t="s">
        <v>251</v>
      </c>
      <c r="K30" s="11"/>
    </row>
    <row r="31" customFormat="false" ht="30" hidden="false" customHeight="true" outlineLevel="0" collapsed="false">
      <c r="A31" s="9" t="s">
        <v>252</v>
      </c>
      <c r="B31" s="3" t="s">
        <v>253</v>
      </c>
      <c r="C31" s="3" t="s">
        <v>233</v>
      </c>
      <c r="D31" s="10" t="s">
        <v>163</v>
      </c>
      <c r="E31" s="10" t="s">
        <v>249</v>
      </c>
      <c r="F31" s="10" t="s">
        <v>250</v>
      </c>
      <c r="G31" s="3" t="s">
        <v>175</v>
      </c>
      <c r="H31" s="10" t="s">
        <v>133</v>
      </c>
      <c r="I31" s="3" t="s">
        <v>226</v>
      </c>
      <c r="J31" s="3" t="s">
        <v>254</v>
      </c>
      <c r="K31" s="11"/>
    </row>
    <row r="32" customFormat="false" ht="30" hidden="false" customHeight="true" outlineLevel="0" collapsed="false">
      <c r="A32" s="9" t="s">
        <v>255</v>
      </c>
      <c r="B32" s="3" t="s">
        <v>256</v>
      </c>
      <c r="C32" s="3" t="s">
        <v>257</v>
      </c>
      <c r="D32" s="10" t="s">
        <v>129</v>
      </c>
      <c r="E32" s="10" t="s">
        <v>130</v>
      </c>
      <c r="F32" s="10" t="s">
        <v>234</v>
      </c>
      <c r="G32" s="3" t="s">
        <v>164</v>
      </c>
      <c r="H32" s="10" t="s">
        <v>133</v>
      </c>
      <c r="I32" s="3" t="s">
        <v>258</v>
      </c>
      <c r="J32" s="3" t="s">
        <v>259</v>
      </c>
      <c r="K32" s="11"/>
    </row>
    <row r="33" customFormat="false" ht="30" hidden="false" customHeight="true" outlineLevel="0" collapsed="false">
      <c r="A33" s="9" t="s">
        <v>260</v>
      </c>
      <c r="B33" s="3" t="s">
        <v>261</v>
      </c>
      <c r="C33" s="3" t="s">
        <v>257</v>
      </c>
      <c r="D33" s="10" t="s">
        <v>129</v>
      </c>
      <c r="E33" s="10" t="s">
        <v>130</v>
      </c>
      <c r="F33" s="10" t="s">
        <v>234</v>
      </c>
      <c r="G33" s="3" t="s">
        <v>164</v>
      </c>
      <c r="H33" s="10" t="s">
        <v>133</v>
      </c>
      <c r="I33" s="3" t="s">
        <v>262</v>
      </c>
      <c r="J33" s="3" t="s">
        <v>263</v>
      </c>
      <c r="K33" s="11"/>
    </row>
    <row r="34" customFormat="false" ht="30" hidden="false" customHeight="true" outlineLevel="0" collapsed="false">
      <c r="A34" s="9" t="s">
        <v>264</v>
      </c>
      <c r="B34" s="3" t="s">
        <v>265</v>
      </c>
      <c r="C34" s="3" t="s">
        <v>257</v>
      </c>
      <c r="D34" s="10" t="s">
        <v>129</v>
      </c>
      <c r="E34" s="10" t="s">
        <v>130</v>
      </c>
      <c r="F34" s="10" t="s">
        <v>234</v>
      </c>
      <c r="G34" s="3" t="s">
        <v>175</v>
      </c>
      <c r="H34" s="10" t="s">
        <v>133</v>
      </c>
      <c r="I34" s="3" t="s">
        <v>213</v>
      </c>
      <c r="J34" s="3" t="s">
        <v>266</v>
      </c>
      <c r="K34" s="11"/>
    </row>
    <row r="35" customFormat="false" ht="30" hidden="false" customHeight="true" outlineLevel="0" collapsed="false">
      <c r="A35" s="9" t="s">
        <v>267</v>
      </c>
      <c r="B35" s="3" t="s">
        <v>268</v>
      </c>
      <c r="C35" s="3" t="s">
        <v>257</v>
      </c>
      <c r="D35" s="10" t="s">
        <v>129</v>
      </c>
      <c r="E35" s="10" t="s">
        <v>130</v>
      </c>
      <c r="F35" s="10" t="s">
        <v>234</v>
      </c>
      <c r="G35" s="3" t="s">
        <v>175</v>
      </c>
      <c r="H35" s="10" t="s">
        <v>133</v>
      </c>
      <c r="I35" s="3" t="s">
        <v>269</v>
      </c>
      <c r="J35" s="3" t="s">
        <v>270</v>
      </c>
      <c r="K35" s="11"/>
    </row>
    <row r="36" customFormat="false" ht="30" hidden="false" customHeight="true" outlineLevel="0" collapsed="false">
      <c r="A36" s="9" t="s">
        <v>271</v>
      </c>
      <c r="B36" s="3" t="s">
        <v>272</v>
      </c>
      <c r="C36" s="3" t="s">
        <v>257</v>
      </c>
      <c r="D36" s="10" t="s">
        <v>129</v>
      </c>
      <c r="E36" s="10" t="s">
        <v>130</v>
      </c>
      <c r="F36" s="10" t="s">
        <v>234</v>
      </c>
      <c r="G36" s="3" t="s">
        <v>175</v>
      </c>
      <c r="H36" s="10" t="s">
        <v>158</v>
      </c>
      <c r="I36" s="3" t="s">
        <v>151</v>
      </c>
      <c r="J36" s="3" t="s">
        <v>273</v>
      </c>
      <c r="K36" s="11"/>
    </row>
    <row r="37" customFormat="false" ht="30" hidden="false" customHeight="true" outlineLevel="0" collapsed="false">
      <c r="A37" s="9" t="s">
        <v>274</v>
      </c>
      <c r="B37" s="3" t="s">
        <v>275</v>
      </c>
      <c r="C37" s="3" t="s">
        <v>257</v>
      </c>
      <c r="D37" s="10" t="s">
        <v>129</v>
      </c>
      <c r="E37" s="10" t="s">
        <v>130</v>
      </c>
      <c r="F37" s="10" t="s">
        <v>234</v>
      </c>
      <c r="G37" s="3" t="s">
        <v>175</v>
      </c>
      <c r="H37" s="10" t="s">
        <v>133</v>
      </c>
      <c r="I37" s="3" t="s">
        <v>151</v>
      </c>
      <c r="J37" s="3" t="s">
        <v>276</v>
      </c>
      <c r="K37" s="11"/>
    </row>
    <row r="38" customFormat="false" ht="30" hidden="false" customHeight="true" outlineLevel="0" collapsed="false">
      <c r="A38" s="9" t="s">
        <v>277</v>
      </c>
      <c r="B38" s="3" t="s">
        <v>278</v>
      </c>
      <c r="C38" s="3" t="s">
        <v>279</v>
      </c>
      <c r="D38" s="10" t="s">
        <v>163</v>
      </c>
      <c r="E38" s="10" t="s">
        <v>130</v>
      </c>
      <c r="F38" s="10" t="s">
        <v>131</v>
      </c>
      <c r="G38" s="3" t="s">
        <v>164</v>
      </c>
      <c r="H38" s="10" t="s">
        <v>133</v>
      </c>
      <c r="I38" s="3" t="s">
        <v>262</v>
      </c>
      <c r="J38" s="3" t="s">
        <v>280</v>
      </c>
      <c r="K38" s="11"/>
    </row>
    <row r="39" customFormat="false" ht="30" hidden="false" customHeight="true" outlineLevel="0" collapsed="false">
      <c r="A39" s="9" t="s">
        <v>281</v>
      </c>
      <c r="B39" s="3" t="s">
        <v>282</v>
      </c>
      <c r="C39" s="3" t="s">
        <v>279</v>
      </c>
      <c r="D39" s="10" t="s">
        <v>129</v>
      </c>
      <c r="E39" s="10" t="s">
        <v>130</v>
      </c>
      <c r="F39" s="10" t="s">
        <v>131</v>
      </c>
      <c r="G39" s="3" t="s">
        <v>175</v>
      </c>
      <c r="H39" s="10" t="s">
        <v>133</v>
      </c>
      <c r="I39" s="3" t="s">
        <v>269</v>
      </c>
      <c r="J39" s="3" t="s">
        <v>283</v>
      </c>
      <c r="K39" s="11"/>
    </row>
    <row r="40" customFormat="false" ht="30" hidden="false" customHeight="true" outlineLevel="0" collapsed="false">
      <c r="A40" s="9" t="s">
        <v>284</v>
      </c>
      <c r="B40" s="3" t="s">
        <v>285</v>
      </c>
      <c r="C40" s="3" t="s">
        <v>279</v>
      </c>
      <c r="D40" s="10" t="s">
        <v>163</v>
      </c>
      <c r="E40" s="10" t="s">
        <v>130</v>
      </c>
      <c r="F40" s="10" t="s">
        <v>131</v>
      </c>
      <c r="G40" s="3" t="s">
        <v>164</v>
      </c>
      <c r="H40" s="10" t="s">
        <v>133</v>
      </c>
      <c r="I40" s="3" t="s">
        <v>286</v>
      </c>
      <c r="J40" s="3" t="s">
        <v>287</v>
      </c>
      <c r="K40" s="11"/>
    </row>
    <row r="41" customFormat="false" ht="30" hidden="false" customHeight="true" outlineLevel="0" collapsed="false">
      <c r="A41" s="9" t="s">
        <v>288</v>
      </c>
      <c r="B41" s="3" t="s">
        <v>289</v>
      </c>
      <c r="C41" s="3" t="s">
        <v>279</v>
      </c>
      <c r="D41" s="10" t="s">
        <v>129</v>
      </c>
      <c r="E41" s="10" t="s">
        <v>130</v>
      </c>
      <c r="F41" s="10" t="s">
        <v>131</v>
      </c>
      <c r="G41" s="3" t="s">
        <v>175</v>
      </c>
      <c r="H41" s="10" t="s">
        <v>133</v>
      </c>
      <c r="I41" s="3" t="s">
        <v>245</v>
      </c>
      <c r="J41" s="3" t="s">
        <v>290</v>
      </c>
      <c r="K41" s="11"/>
    </row>
    <row r="42" customFormat="false" ht="30" hidden="false" customHeight="true" outlineLevel="0" collapsed="false">
      <c r="A42" s="9" t="s">
        <v>291</v>
      </c>
      <c r="B42" s="3" t="s">
        <v>292</v>
      </c>
      <c r="C42" s="3" t="s">
        <v>279</v>
      </c>
      <c r="D42" s="10" t="s">
        <v>163</v>
      </c>
      <c r="E42" s="10" t="s">
        <v>130</v>
      </c>
      <c r="F42" s="10" t="s">
        <v>131</v>
      </c>
      <c r="G42" s="3" t="s">
        <v>164</v>
      </c>
      <c r="H42" s="10" t="s">
        <v>133</v>
      </c>
      <c r="I42" s="3" t="s">
        <v>245</v>
      </c>
      <c r="J42" s="3" t="s">
        <v>293</v>
      </c>
      <c r="K42" s="11"/>
    </row>
    <row r="43" customFormat="false" ht="30" hidden="false" customHeight="true" outlineLevel="0" collapsed="false">
      <c r="A43" s="9" t="s">
        <v>294</v>
      </c>
      <c r="B43" s="3" t="s">
        <v>295</v>
      </c>
      <c r="C43" s="3" t="s">
        <v>279</v>
      </c>
      <c r="D43" s="10" t="s">
        <v>129</v>
      </c>
      <c r="E43" s="10" t="s">
        <v>130</v>
      </c>
      <c r="F43" s="10" t="s">
        <v>131</v>
      </c>
      <c r="G43" s="3" t="s">
        <v>175</v>
      </c>
      <c r="H43" s="10" t="s">
        <v>133</v>
      </c>
      <c r="I43" s="3" t="s">
        <v>245</v>
      </c>
      <c r="J43" s="3" t="s">
        <v>296</v>
      </c>
      <c r="K43" s="11"/>
    </row>
    <row r="44" customFormat="false" ht="30" hidden="false" customHeight="true" outlineLevel="0" collapsed="false">
      <c r="A44" s="9" t="s">
        <v>297</v>
      </c>
      <c r="B44" s="3" t="s">
        <v>298</v>
      </c>
      <c r="C44" s="3" t="s">
        <v>279</v>
      </c>
      <c r="D44" s="10" t="s">
        <v>163</v>
      </c>
      <c r="E44" s="10" t="s">
        <v>169</v>
      </c>
      <c r="F44" s="10" t="s">
        <v>250</v>
      </c>
      <c r="G44" s="3" t="s">
        <v>164</v>
      </c>
      <c r="H44" s="10" t="s">
        <v>158</v>
      </c>
      <c r="I44" s="3" t="s">
        <v>151</v>
      </c>
      <c r="J44" s="3" t="s">
        <v>299</v>
      </c>
      <c r="K44" s="11"/>
    </row>
    <row r="45" customFormat="false" ht="30" hidden="false" customHeight="true" outlineLevel="0" collapsed="false">
      <c r="A45" s="9" t="s">
        <v>300</v>
      </c>
      <c r="B45" s="3" t="s">
        <v>301</v>
      </c>
      <c r="C45" s="3" t="s">
        <v>302</v>
      </c>
      <c r="D45" s="10" t="s">
        <v>163</v>
      </c>
      <c r="E45" s="10" t="s">
        <v>302</v>
      </c>
      <c r="F45" s="10" t="s">
        <v>250</v>
      </c>
      <c r="G45" s="3" t="s">
        <v>164</v>
      </c>
      <c r="H45" s="10" t="s">
        <v>133</v>
      </c>
      <c r="I45" s="3" t="s">
        <v>226</v>
      </c>
      <c r="J45" s="3" t="s">
        <v>303</v>
      </c>
      <c r="K45" s="11"/>
    </row>
    <row r="46" customFormat="false" ht="30" hidden="false" customHeight="true" outlineLevel="0" collapsed="false">
      <c r="A46" s="9" t="s">
        <v>304</v>
      </c>
      <c r="B46" s="3" t="s">
        <v>305</v>
      </c>
      <c r="C46" s="3" t="s">
        <v>302</v>
      </c>
      <c r="D46" s="10" t="s">
        <v>163</v>
      </c>
      <c r="E46" s="10" t="s">
        <v>302</v>
      </c>
      <c r="F46" s="10" t="s">
        <v>250</v>
      </c>
      <c r="G46" s="3" t="s">
        <v>164</v>
      </c>
      <c r="H46" s="10" t="s">
        <v>133</v>
      </c>
      <c r="I46" s="3" t="s">
        <v>226</v>
      </c>
      <c r="J46" s="3" t="s">
        <v>306</v>
      </c>
      <c r="K46" s="11"/>
    </row>
    <row r="47" customFormat="false" ht="30" hidden="false" customHeight="true" outlineLevel="0" collapsed="false">
      <c r="A47" s="9" t="s">
        <v>307</v>
      </c>
      <c r="B47" s="3" t="s">
        <v>308</v>
      </c>
      <c r="C47" s="3" t="s">
        <v>302</v>
      </c>
      <c r="D47" s="10" t="s">
        <v>163</v>
      </c>
      <c r="E47" s="10" t="s">
        <v>302</v>
      </c>
      <c r="F47" s="10" t="s">
        <v>250</v>
      </c>
      <c r="G47" s="3" t="s">
        <v>175</v>
      </c>
      <c r="H47" s="10" t="s">
        <v>133</v>
      </c>
      <c r="I47" s="3" t="s">
        <v>226</v>
      </c>
      <c r="J47" s="3" t="s">
        <v>309</v>
      </c>
      <c r="K47" s="11"/>
    </row>
    <row r="48" customFormat="false" ht="30" hidden="false" customHeight="true" outlineLevel="0" collapsed="false">
      <c r="A48" s="9" t="s">
        <v>310</v>
      </c>
      <c r="B48" s="3" t="s">
        <v>311</v>
      </c>
      <c r="C48" s="3" t="s">
        <v>249</v>
      </c>
      <c r="D48" s="10" t="s">
        <v>163</v>
      </c>
      <c r="E48" s="10" t="s">
        <v>249</v>
      </c>
      <c r="F48" s="10" t="s">
        <v>250</v>
      </c>
      <c r="G48" s="3" t="s">
        <v>164</v>
      </c>
      <c r="H48" s="10" t="s">
        <v>133</v>
      </c>
      <c r="I48" s="3" t="s">
        <v>226</v>
      </c>
      <c r="J48" s="3" t="s">
        <v>312</v>
      </c>
      <c r="K48" s="11"/>
    </row>
    <row r="49" customFormat="false" ht="30" hidden="false" customHeight="true" outlineLevel="0" collapsed="false">
      <c r="A49" s="9" t="s">
        <v>313</v>
      </c>
      <c r="B49" s="3" t="s">
        <v>314</v>
      </c>
      <c r="C49" s="3" t="s">
        <v>249</v>
      </c>
      <c r="D49" s="10" t="s">
        <v>163</v>
      </c>
      <c r="E49" s="10" t="s">
        <v>249</v>
      </c>
      <c r="F49" s="10" t="s">
        <v>250</v>
      </c>
      <c r="G49" s="3" t="s">
        <v>164</v>
      </c>
      <c r="H49" s="10" t="s">
        <v>133</v>
      </c>
      <c r="I49" s="3" t="s">
        <v>241</v>
      </c>
      <c r="J49" s="3" t="s">
        <v>315</v>
      </c>
      <c r="K49" s="11"/>
    </row>
    <row r="50" customFormat="false" ht="30" hidden="false" customHeight="true" outlineLevel="0" collapsed="false">
      <c r="A50" s="9" t="s">
        <v>316</v>
      </c>
      <c r="B50" s="3" t="s">
        <v>317</v>
      </c>
      <c r="C50" s="3" t="s">
        <v>249</v>
      </c>
      <c r="D50" s="10" t="s">
        <v>163</v>
      </c>
      <c r="E50" s="10" t="s">
        <v>249</v>
      </c>
      <c r="F50" s="10" t="s">
        <v>250</v>
      </c>
      <c r="G50" s="3" t="s">
        <v>164</v>
      </c>
      <c r="H50" s="10" t="s">
        <v>133</v>
      </c>
      <c r="I50" s="3" t="s">
        <v>241</v>
      </c>
      <c r="J50" s="3" t="s">
        <v>318</v>
      </c>
      <c r="K50" s="11"/>
    </row>
    <row r="51" customFormat="false" ht="30" hidden="false" customHeight="true" outlineLevel="0" collapsed="false">
      <c r="A51" s="9" t="s">
        <v>319</v>
      </c>
      <c r="B51" s="3" t="s">
        <v>320</v>
      </c>
      <c r="C51" s="3" t="s">
        <v>249</v>
      </c>
      <c r="D51" s="10" t="s">
        <v>163</v>
      </c>
      <c r="E51" s="10" t="s">
        <v>249</v>
      </c>
      <c r="F51" s="10" t="s">
        <v>250</v>
      </c>
      <c r="G51" s="3" t="s">
        <v>175</v>
      </c>
      <c r="H51" s="10" t="s">
        <v>133</v>
      </c>
      <c r="I51" s="3" t="s">
        <v>241</v>
      </c>
      <c r="J51" s="3" t="s">
        <v>321</v>
      </c>
      <c r="K51" s="11"/>
    </row>
    <row r="52" customFormat="false" ht="30" hidden="false" customHeight="true" outlineLevel="0" collapsed="false">
      <c r="A52" s="9" t="s">
        <v>322</v>
      </c>
      <c r="B52" s="3" t="s">
        <v>323</v>
      </c>
      <c r="C52" s="3" t="s">
        <v>324</v>
      </c>
      <c r="D52" s="10" t="s">
        <v>163</v>
      </c>
      <c r="E52" s="10" t="s">
        <v>324</v>
      </c>
      <c r="F52" s="10" t="s">
        <v>250</v>
      </c>
      <c r="G52" s="3" t="s">
        <v>164</v>
      </c>
      <c r="H52" s="10" t="s">
        <v>133</v>
      </c>
      <c r="I52" s="3" t="s">
        <v>170</v>
      </c>
      <c r="J52" s="3" t="s">
        <v>325</v>
      </c>
      <c r="K52"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28"/>
    <col collapsed="false" customWidth="true" hidden="false" outlineLevel="0" max="4" min="4" style="0" width="42"/>
    <col collapsed="false" customWidth="true" hidden="false" outlineLevel="0" max="5" min="5" style="0" width="34"/>
    <col collapsed="false" customWidth="true" hidden="false" outlineLevel="0" max="6" min="6" style="0" width="20"/>
    <col collapsed="false" customWidth="true" hidden="false" outlineLevel="0" max="7" min="7" style="0" width="11"/>
    <col collapsed="false" customWidth="true" hidden="false" outlineLevel="0" max="8" min="8" style="0" width="14"/>
    <col collapsed="false" customWidth="true" hidden="false" outlineLevel="0" max="9" min="9" style="0" width="13"/>
    <col collapsed="false" customWidth="true" hidden="false" outlineLevel="0" max="10" min="10" style="0" width="12"/>
    <col collapsed="false" customWidth="true" hidden="false" outlineLevel="0" max="11" min="11" style="0" width="20"/>
    <col collapsed="false" customWidth="true" hidden="false" outlineLevel="0" max="12" min="12" style="0" width="22"/>
    <col collapsed="false" customWidth="true" hidden="false" outlineLevel="0" max="13" min="13" style="0" width="18"/>
    <col collapsed="false" customWidth="true" hidden="false" outlineLevel="0" max="14" min="14" style="0" width="20"/>
    <col collapsed="false" customWidth="true" hidden="false" outlineLevel="0" max="15" min="15" style="0" width="11"/>
    <col collapsed="false" customWidth="true" hidden="false" outlineLevel="0" max="16" min="16" style="0" width="9"/>
    <col collapsed="false" customWidth="true" hidden="false" outlineLevel="0" max="17" min="17" style="0" width="12"/>
    <col collapsed="false" customWidth="true" hidden="false" outlineLevel="0" max="18" min="18" style="0" width="16"/>
    <col collapsed="false" customWidth="true" hidden="false" outlineLevel="0" max="19" min="19" style="0" width="15"/>
    <col collapsed="false" customWidth="true" hidden="false" outlineLevel="0" max="20" min="20" style="0" width="18"/>
    <col collapsed="false" customWidth="true" hidden="false" outlineLevel="0" max="21" min="21" style="0" width="24"/>
    <col collapsed="false" customWidth="true" hidden="false" outlineLevel="0" max="22" min="22" style="0" width="62"/>
  </cols>
  <sheetData>
    <row r="1" customFormat="false" ht="23.85" hidden="false" customHeight="false" outlineLevel="0" collapsed="false">
      <c r="A1" s="8" t="s">
        <v>31</v>
      </c>
      <c r="B1" s="8" t="s">
        <v>326</v>
      </c>
      <c r="C1" s="8" t="s">
        <v>115</v>
      </c>
      <c r="D1" s="8" t="s">
        <v>327</v>
      </c>
      <c r="E1" s="8" t="s">
        <v>328</v>
      </c>
      <c r="F1" s="8" t="s">
        <v>117</v>
      </c>
      <c r="G1" s="8" t="s">
        <v>119</v>
      </c>
      <c r="H1" s="8" t="s">
        <v>118</v>
      </c>
      <c r="I1" s="8" t="s">
        <v>329</v>
      </c>
      <c r="J1" s="8" t="s">
        <v>330</v>
      </c>
      <c r="K1" s="8" t="s">
        <v>331</v>
      </c>
      <c r="L1" s="8" t="s">
        <v>332</v>
      </c>
      <c r="M1" s="8" t="s">
        <v>333</v>
      </c>
      <c r="N1" s="8" t="s">
        <v>334</v>
      </c>
      <c r="O1" s="8" t="s">
        <v>335</v>
      </c>
      <c r="P1" s="8" t="s">
        <v>336</v>
      </c>
      <c r="Q1" s="8" t="s">
        <v>337</v>
      </c>
      <c r="R1" s="8" t="s">
        <v>338</v>
      </c>
      <c r="S1" s="8" t="s">
        <v>339</v>
      </c>
      <c r="T1" s="8" t="s">
        <v>340</v>
      </c>
      <c r="U1" s="8" t="s">
        <v>125</v>
      </c>
      <c r="V1" s="8" t="s">
        <v>341</v>
      </c>
    </row>
    <row r="2" customFormat="false" ht="15" hidden="false" customHeight="true" outlineLevel="0" collapsed="false">
      <c r="A2" s="12" t="s">
        <v>342</v>
      </c>
      <c r="B2" s="12" t="s">
        <v>343</v>
      </c>
      <c r="C2" s="12" t="s">
        <v>126</v>
      </c>
      <c r="D2" s="12" t="s">
        <v>344</v>
      </c>
      <c r="E2" s="12" t="s">
        <v>345</v>
      </c>
      <c r="F2" s="12" t="s">
        <v>128</v>
      </c>
      <c r="G2" s="12" t="s">
        <v>130</v>
      </c>
      <c r="H2" s="13" t="s">
        <v>129</v>
      </c>
      <c r="I2" s="13" t="s">
        <v>133</v>
      </c>
      <c r="J2" s="12" t="s">
        <v>346</v>
      </c>
      <c r="K2" s="12" t="s">
        <v>347</v>
      </c>
      <c r="L2" s="13" t="s">
        <v>131</v>
      </c>
      <c r="M2" s="12" t="s">
        <v>348</v>
      </c>
      <c r="N2" s="13" t="s">
        <v>349</v>
      </c>
      <c r="O2" s="13" t="s">
        <v>350</v>
      </c>
      <c r="P2" s="13" t="n">
        <v>0</v>
      </c>
      <c r="Q2" s="12" t="s">
        <v>351</v>
      </c>
      <c r="R2" s="12"/>
      <c r="S2" s="12" t="s">
        <v>352</v>
      </c>
      <c r="T2" s="12" t="s">
        <v>353</v>
      </c>
      <c r="U2" s="14"/>
      <c r="V2" s="3"/>
    </row>
    <row r="3" customFormat="false" ht="15" hidden="false" customHeight="true" outlineLevel="0" collapsed="false">
      <c r="A3" s="12" t="s">
        <v>354</v>
      </c>
      <c r="B3" s="12" t="s">
        <v>343</v>
      </c>
      <c r="C3" s="12" t="s">
        <v>140</v>
      </c>
      <c r="D3" s="12" t="s">
        <v>355</v>
      </c>
      <c r="E3" s="12" t="s">
        <v>356</v>
      </c>
      <c r="F3" s="12" t="s">
        <v>128</v>
      </c>
      <c r="G3" s="12" t="s">
        <v>130</v>
      </c>
      <c r="H3" s="13" t="s">
        <v>129</v>
      </c>
      <c r="I3" s="13" t="s">
        <v>133</v>
      </c>
      <c r="J3" s="12" t="s">
        <v>346</v>
      </c>
      <c r="K3" s="12" t="s">
        <v>347</v>
      </c>
      <c r="L3" s="13" t="s">
        <v>131</v>
      </c>
      <c r="M3" s="12" t="s">
        <v>348</v>
      </c>
      <c r="N3" s="13" t="s">
        <v>349</v>
      </c>
      <c r="O3" s="13" t="s">
        <v>350</v>
      </c>
      <c r="P3" s="13" t="n">
        <v>0</v>
      </c>
      <c r="Q3" s="12" t="s">
        <v>351</v>
      </c>
      <c r="R3" s="12"/>
      <c r="S3" s="12" t="s">
        <v>352</v>
      </c>
      <c r="T3" s="12" t="s">
        <v>353</v>
      </c>
      <c r="U3" s="14"/>
      <c r="V3" s="3"/>
    </row>
    <row r="4" customFormat="false" ht="15" hidden="false" customHeight="true" outlineLevel="0" collapsed="false">
      <c r="A4" s="12" t="s">
        <v>357</v>
      </c>
      <c r="B4" s="12" t="s">
        <v>343</v>
      </c>
      <c r="C4" s="12" t="s">
        <v>182</v>
      </c>
      <c r="D4" s="12" t="s">
        <v>358</v>
      </c>
      <c r="E4" s="12" t="s">
        <v>184</v>
      </c>
      <c r="F4" s="12" t="s">
        <v>174</v>
      </c>
      <c r="G4" s="12" t="s">
        <v>130</v>
      </c>
      <c r="H4" s="13" t="s">
        <v>129</v>
      </c>
      <c r="I4" s="13" t="s">
        <v>133</v>
      </c>
      <c r="J4" s="12" t="s">
        <v>359</v>
      </c>
      <c r="K4" s="12" t="s">
        <v>347</v>
      </c>
      <c r="L4" s="13" t="s">
        <v>131</v>
      </c>
      <c r="M4" s="12" t="s">
        <v>348</v>
      </c>
      <c r="N4" s="13" t="s">
        <v>349</v>
      </c>
      <c r="O4" s="13" t="s">
        <v>350</v>
      </c>
      <c r="P4" s="13" t="n">
        <v>0</v>
      </c>
      <c r="Q4" s="12" t="s">
        <v>360</v>
      </c>
      <c r="R4" s="12" t="s">
        <v>346</v>
      </c>
      <c r="S4" s="12" t="s">
        <v>352</v>
      </c>
      <c r="T4" s="12" t="s">
        <v>361</v>
      </c>
      <c r="U4" s="14"/>
      <c r="V4" s="3"/>
    </row>
    <row r="5" customFormat="false" ht="15" hidden="false" customHeight="true" outlineLevel="0" collapsed="false">
      <c r="A5" s="12" t="s">
        <v>362</v>
      </c>
      <c r="B5" s="12" t="s">
        <v>343</v>
      </c>
      <c r="C5" s="12" t="s">
        <v>172</v>
      </c>
      <c r="D5" s="12" t="s">
        <v>363</v>
      </c>
      <c r="E5" s="12" t="s">
        <v>364</v>
      </c>
      <c r="F5" s="12" t="s">
        <v>174</v>
      </c>
      <c r="G5" s="12" t="s">
        <v>130</v>
      </c>
      <c r="H5" s="13" t="s">
        <v>129</v>
      </c>
      <c r="I5" s="13" t="s">
        <v>133</v>
      </c>
      <c r="J5" s="12" t="s">
        <v>359</v>
      </c>
      <c r="K5" s="12" t="s">
        <v>347</v>
      </c>
      <c r="L5" s="13" t="s">
        <v>131</v>
      </c>
      <c r="M5" s="12" t="s">
        <v>348</v>
      </c>
      <c r="N5" s="13" t="s">
        <v>349</v>
      </c>
      <c r="O5" s="13" t="s">
        <v>350</v>
      </c>
      <c r="P5" s="13" t="n">
        <v>0</v>
      </c>
      <c r="Q5" s="12" t="s">
        <v>360</v>
      </c>
      <c r="R5" s="12" t="s">
        <v>346</v>
      </c>
      <c r="S5" s="12" t="s">
        <v>352</v>
      </c>
      <c r="T5" s="12" t="s">
        <v>361</v>
      </c>
      <c r="U5" s="14"/>
      <c r="V5" s="15" t="s">
        <v>365</v>
      </c>
    </row>
    <row r="6" customFormat="false" ht="15" hidden="false" customHeight="true" outlineLevel="0" collapsed="false">
      <c r="A6" s="12" t="s">
        <v>366</v>
      </c>
      <c r="B6" s="12" t="s">
        <v>343</v>
      </c>
      <c r="C6" s="12" t="s">
        <v>185</v>
      </c>
      <c r="D6" s="12" t="s">
        <v>367</v>
      </c>
      <c r="E6" s="12" t="s">
        <v>190</v>
      </c>
      <c r="F6" s="12" t="s">
        <v>187</v>
      </c>
      <c r="G6" s="12" t="s">
        <v>130</v>
      </c>
      <c r="H6" s="13" t="s">
        <v>129</v>
      </c>
      <c r="I6" s="13" t="s">
        <v>133</v>
      </c>
      <c r="J6" s="12" t="s">
        <v>359</v>
      </c>
      <c r="K6" s="12" t="s">
        <v>347</v>
      </c>
      <c r="L6" s="13" t="s">
        <v>188</v>
      </c>
      <c r="M6" s="12" t="s">
        <v>348</v>
      </c>
      <c r="N6" s="13" t="s">
        <v>349</v>
      </c>
      <c r="O6" s="13" t="s">
        <v>350</v>
      </c>
      <c r="P6" s="13" t="n">
        <v>0</v>
      </c>
      <c r="Q6" s="12" t="s">
        <v>368</v>
      </c>
      <c r="R6" s="12" t="s">
        <v>369</v>
      </c>
      <c r="S6" s="12" t="s">
        <v>352</v>
      </c>
      <c r="T6" s="12" t="s">
        <v>361</v>
      </c>
      <c r="U6" s="14"/>
      <c r="V6" s="3"/>
    </row>
    <row r="7" customFormat="false" ht="15" hidden="false" customHeight="true" outlineLevel="0" collapsed="false">
      <c r="A7" s="12" t="s">
        <v>370</v>
      </c>
      <c r="B7" s="12" t="s">
        <v>343</v>
      </c>
      <c r="C7" s="12" t="s">
        <v>191</v>
      </c>
      <c r="D7" s="12" t="s">
        <v>371</v>
      </c>
      <c r="E7" s="12" t="s">
        <v>193</v>
      </c>
      <c r="F7" s="12" t="s">
        <v>187</v>
      </c>
      <c r="G7" s="12" t="s">
        <v>130</v>
      </c>
      <c r="H7" s="13" t="s">
        <v>129</v>
      </c>
      <c r="I7" s="13" t="s">
        <v>133</v>
      </c>
      <c r="J7" s="12" t="s">
        <v>359</v>
      </c>
      <c r="K7" s="12" t="s">
        <v>347</v>
      </c>
      <c r="L7" s="13" t="s">
        <v>188</v>
      </c>
      <c r="M7" s="12" t="s">
        <v>348</v>
      </c>
      <c r="N7" s="13" t="s">
        <v>349</v>
      </c>
      <c r="O7" s="13" t="s">
        <v>350</v>
      </c>
      <c r="P7" s="13" t="n">
        <v>0</v>
      </c>
      <c r="Q7" s="12" t="s">
        <v>368</v>
      </c>
      <c r="R7" s="12" t="s">
        <v>369</v>
      </c>
      <c r="S7" s="12" t="s">
        <v>352</v>
      </c>
      <c r="T7" s="12" t="s">
        <v>361</v>
      </c>
      <c r="U7" s="14"/>
      <c r="V7" s="3"/>
    </row>
    <row r="8" customFormat="false" ht="15" hidden="false" customHeight="true" outlineLevel="0" collapsed="false">
      <c r="A8" s="12" t="s">
        <v>372</v>
      </c>
      <c r="B8" s="12" t="s">
        <v>343</v>
      </c>
      <c r="C8" s="12" t="s">
        <v>194</v>
      </c>
      <c r="D8" s="12" t="s">
        <v>373</v>
      </c>
      <c r="E8" s="12" t="s">
        <v>196</v>
      </c>
      <c r="F8" s="12" t="s">
        <v>187</v>
      </c>
      <c r="G8" s="12" t="s">
        <v>130</v>
      </c>
      <c r="H8" s="13" t="s">
        <v>129</v>
      </c>
      <c r="I8" s="13" t="s">
        <v>133</v>
      </c>
      <c r="J8" s="12" t="s">
        <v>359</v>
      </c>
      <c r="K8" s="12" t="s">
        <v>347</v>
      </c>
      <c r="L8" s="13" t="s">
        <v>188</v>
      </c>
      <c r="M8" s="12" t="s">
        <v>348</v>
      </c>
      <c r="N8" s="13" t="s">
        <v>349</v>
      </c>
      <c r="O8" s="13" t="s">
        <v>350</v>
      </c>
      <c r="P8" s="13" t="n">
        <v>0</v>
      </c>
      <c r="Q8" s="12" t="s">
        <v>368</v>
      </c>
      <c r="R8" s="12" t="s">
        <v>369</v>
      </c>
      <c r="S8" s="12" t="s">
        <v>352</v>
      </c>
      <c r="T8" s="12" t="s">
        <v>361</v>
      </c>
      <c r="U8" s="14"/>
      <c r="V8" s="3"/>
    </row>
    <row r="9" customFormat="false" ht="15" hidden="false" customHeight="true" outlineLevel="0" collapsed="false">
      <c r="A9" s="12" t="s">
        <v>374</v>
      </c>
      <c r="B9" s="12" t="s">
        <v>343</v>
      </c>
      <c r="C9" s="12" t="s">
        <v>197</v>
      </c>
      <c r="D9" s="12" t="s">
        <v>375</v>
      </c>
      <c r="E9" s="12" t="s">
        <v>200</v>
      </c>
      <c r="F9" s="12" t="s">
        <v>187</v>
      </c>
      <c r="G9" s="12" t="s">
        <v>130</v>
      </c>
      <c r="H9" s="13" t="s">
        <v>129</v>
      </c>
      <c r="I9" s="13" t="s">
        <v>133</v>
      </c>
      <c r="J9" s="12" t="s">
        <v>359</v>
      </c>
      <c r="K9" s="12" t="s">
        <v>347</v>
      </c>
      <c r="L9" s="13" t="s">
        <v>188</v>
      </c>
      <c r="M9" s="12" t="s">
        <v>348</v>
      </c>
      <c r="N9" s="13" t="s">
        <v>349</v>
      </c>
      <c r="O9" s="13" t="s">
        <v>350</v>
      </c>
      <c r="P9" s="13" t="n">
        <v>0</v>
      </c>
      <c r="Q9" s="12" t="s">
        <v>368</v>
      </c>
      <c r="R9" s="12" t="s">
        <v>369</v>
      </c>
      <c r="S9" s="12" t="s">
        <v>352</v>
      </c>
      <c r="T9" s="12" t="s">
        <v>361</v>
      </c>
      <c r="U9" s="14"/>
      <c r="V9" s="3"/>
    </row>
    <row r="10" customFormat="false" ht="15" hidden="false" customHeight="true" outlineLevel="0" collapsed="false">
      <c r="A10" s="12" t="s">
        <v>376</v>
      </c>
      <c r="B10" s="12" t="s">
        <v>343</v>
      </c>
      <c r="C10" s="12" t="s">
        <v>201</v>
      </c>
      <c r="D10" s="12" t="s">
        <v>377</v>
      </c>
      <c r="E10" s="12" t="s">
        <v>203</v>
      </c>
      <c r="F10" s="12" t="s">
        <v>187</v>
      </c>
      <c r="G10" s="12" t="s">
        <v>130</v>
      </c>
      <c r="H10" s="13" t="s">
        <v>129</v>
      </c>
      <c r="I10" s="13" t="s">
        <v>133</v>
      </c>
      <c r="J10" s="12" t="s">
        <v>359</v>
      </c>
      <c r="K10" s="12" t="s">
        <v>347</v>
      </c>
      <c r="L10" s="13" t="s">
        <v>188</v>
      </c>
      <c r="M10" s="12" t="s">
        <v>348</v>
      </c>
      <c r="N10" s="13" t="s">
        <v>349</v>
      </c>
      <c r="O10" s="13" t="s">
        <v>350</v>
      </c>
      <c r="P10" s="13" t="n">
        <v>0</v>
      </c>
      <c r="Q10" s="12" t="s">
        <v>368</v>
      </c>
      <c r="R10" s="12" t="s">
        <v>369</v>
      </c>
      <c r="S10" s="12" t="s">
        <v>352</v>
      </c>
      <c r="T10" s="12" t="s">
        <v>361</v>
      </c>
      <c r="U10" s="14"/>
      <c r="V10" s="3"/>
    </row>
    <row r="11" customFormat="false" ht="15" hidden="false" customHeight="true" outlineLevel="0" collapsed="false">
      <c r="A11" s="12" t="s">
        <v>378</v>
      </c>
      <c r="B11" s="12" t="s">
        <v>343</v>
      </c>
      <c r="C11" s="12" t="s">
        <v>204</v>
      </c>
      <c r="D11" s="12" t="s">
        <v>379</v>
      </c>
      <c r="E11" s="12" t="s">
        <v>380</v>
      </c>
      <c r="F11" s="12" t="s">
        <v>187</v>
      </c>
      <c r="G11" s="12" t="s">
        <v>130</v>
      </c>
      <c r="H11" s="13" t="s">
        <v>129</v>
      </c>
      <c r="I11" s="13" t="s">
        <v>133</v>
      </c>
      <c r="J11" s="12" t="s">
        <v>359</v>
      </c>
      <c r="K11" s="12" t="s">
        <v>347</v>
      </c>
      <c r="L11" s="13" t="s">
        <v>188</v>
      </c>
      <c r="M11" s="12" t="s">
        <v>348</v>
      </c>
      <c r="N11" s="13" t="s">
        <v>349</v>
      </c>
      <c r="O11" s="13" t="s">
        <v>350</v>
      </c>
      <c r="P11" s="13" t="n">
        <v>0</v>
      </c>
      <c r="Q11" s="12" t="s">
        <v>368</v>
      </c>
      <c r="R11" s="12" t="s">
        <v>369</v>
      </c>
      <c r="S11" s="12" t="s">
        <v>352</v>
      </c>
      <c r="T11" s="12" t="s">
        <v>361</v>
      </c>
      <c r="U11" s="14"/>
      <c r="V11" s="3"/>
    </row>
    <row r="12" customFormat="false" ht="15" hidden="false" customHeight="true" outlineLevel="0" collapsed="false">
      <c r="A12" s="12" t="s">
        <v>381</v>
      </c>
      <c r="B12" s="12" t="s">
        <v>343</v>
      </c>
      <c r="C12" s="12" t="s">
        <v>207</v>
      </c>
      <c r="D12" s="12" t="s">
        <v>382</v>
      </c>
      <c r="E12" s="12" t="s">
        <v>383</v>
      </c>
      <c r="F12" s="12" t="s">
        <v>187</v>
      </c>
      <c r="G12" s="12" t="s">
        <v>130</v>
      </c>
      <c r="H12" s="13" t="s">
        <v>129</v>
      </c>
      <c r="I12" s="13" t="s">
        <v>133</v>
      </c>
      <c r="J12" s="12" t="s">
        <v>359</v>
      </c>
      <c r="K12" s="12" t="s">
        <v>347</v>
      </c>
      <c r="L12" s="13" t="s">
        <v>188</v>
      </c>
      <c r="M12" s="12" t="s">
        <v>348</v>
      </c>
      <c r="N12" s="13" t="s">
        <v>349</v>
      </c>
      <c r="O12" s="13" t="s">
        <v>350</v>
      </c>
      <c r="P12" s="13" t="n">
        <v>0</v>
      </c>
      <c r="Q12" s="12" t="s">
        <v>368</v>
      </c>
      <c r="R12" s="12" t="s">
        <v>369</v>
      </c>
      <c r="S12" s="12" t="s">
        <v>352</v>
      </c>
      <c r="T12" s="12" t="s">
        <v>361</v>
      </c>
      <c r="U12" s="14"/>
      <c r="V12" s="3"/>
    </row>
    <row r="13" customFormat="false" ht="30" hidden="false" customHeight="true" outlineLevel="0" collapsed="false">
      <c r="A13" s="12" t="s">
        <v>384</v>
      </c>
      <c r="B13" s="12" t="s">
        <v>343</v>
      </c>
      <c r="C13" s="12" t="s">
        <v>231</v>
      </c>
      <c r="D13" s="12" t="s">
        <v>385</v>
      </c>
      <c r="E13" s="12" t="s">
        <v>386</v>
      </c>
      <c r="F13" s="12" t="s">
        <v>233</v>
      </c>
      <c r="G13" s="12" t="s">
        <v>130</v>
      </c>
      <c r="H13" s="13" t="s">
        <v>129</v>
      </c>
      <c r="I13" s="13" t="s">
        <v>133</v>
      </c>
      <c r="J13" s="12" t="s">
        <v>164</v>
      </c>
      <c r="K13" s="12" t="s">
        <v>347</v>
      </c>
      <c r="L13" s="13" t="s">
        <v>234</v>
      </c>
      <c r="M13" s="12" t="s">
        <v>387</v>
      </c>
      <c r="N13" s="13" t="s">
        <v>388</v>
      </c>
      <c r="O13" s="13" t="s">
        <v>350</v>
      </c>
      <c r="P13" s="13" t="n">
        <v>20</v>
      </c>
      <c r="Q13" s="12" t="s">
        <v>368</v>
      </c>
      <c r="R13" s="12" t="s">
        <v>233</v>
      </c>
      <c r="S13" s="12" t="s">
        <v>352</v>
      </c>
      <c r="T13" s="12" t="s">
        <v>361</v>
      </c>
      <c r="U13" s="14"/>
      <c r="V13" s="15" t="s">
        <v>389</v>
      </c>
    </row>
    <row r="14" customFormat="false" ht="15" hidden="false" customHeight="true" outlineLevel="0" collapsed="false">
      <c r="A14" s="12" t="s">
        <v>390</v>
      </c>
      <c r="B14" s="12" t="s">
        <v>343</v>
      </c>
      <c r="C14" s="12" t="s">
        <v>236</v>
      </c>
      <c r="D14" s="12" t="s">
        <v>391</v>
      </c>
      <c r="E14" s="12" t="s">
        <v>238</v>
      </c>
      <c r="F14" s="12" t="s">
        <v>233</v>
      </c>
      <c r="G14" s="12" t="s">
        <v>130</v>
      </c>
      <c r="H14" s="13" t="s">
        <v>129</v>
      </c>
      <c r="I14" s="13" t="s">
        <v>133</v>
      </c>
      <c r="J14" s="12" t="s">
        <v>359</v>
      </c>
      <c r="K14" s="12" t="s">
        <v>392</v>
      </c>
      <c r="L14" s="13" t="s">
        <v>234</v>
      </c>
      <c r="M14" s="12" t="s">
        <v>393</v>
      </c>
      <c r="N14" s="13" t="s">
        <v>388</v>
      </c>
      <c r="O14" s="13" t="s">
        <v>350</v>
      </c>
      <c r="P14" s="13" t="n">
        <v>21</v>
      </c>
      <c r="Q14" s="12" t="s">
        <v>368</v>
      </c>
      <c r="R14" s="12" t="s">
        <v>233</v>
      </c>
      <c r="S14" s="12" t="s">
        <v>352</v>
      </c>
      <c r="T14" s="12" t="s">
        <v>361</v>
      </c>
      <c r="U14" s="14"/>
      <c r="V14" s="3"/>
    </row>
    <row r="15" customFormat="false" ht="15" hidden="false" customHeight="true" outlineLevel="0" collapsed="false">
      <c r="A15" s="12" t="s">
        <v>394</v>
      </c>
      <c r="B15" s="12" t="s">
        <v>343</v>
      </c>
      <c r="C15" s="12" t="s">
        <v>255</v>
      </c>
      <c r="D15" s="12" t="s">
        <v>395</v>
      </c>
      <c r="E15" s="12" t="s">
        <v>259</v>
      </c>
      <c r="F15" s="12" t="s">
        <v>257</v>
      </c>
      <c r="G15" s="12" t="s">
        <v>130</v>
      </c>
      <c r="H15" s="13" t="s">
        <v>129</v>
      </c>
      <c r="I15" s="13" t="s">
        <v>133</v>
      </c>
      <c r="J15" s="12" t="s">
        <v>164</v>
      </c>
      <c r="K15" s="12" t="s">
        <v>392</v>
      </c>
      <c r="L15" s="13" t="s">
        <v>234</v>
      </c>
      <c r="M15" s="12" t="s">
        <v>387</v>
      </c>
      <c r="N15" s="13" t="s">
        <v>388</v>
      </c>
      <c r="O15" s="13" t="s">
        <v>350</v>
      </c>
      <c r="P15" s="13" t="n">
        <v>20</v>
      </c>
      <c r="Q15" s="12" t="s">
        <v>368</v>
      </c>
      <c r="R15" s="12" t="s">
        <v>396</v>
      </c>
      <c r="S15" s="12" t="s">
        <v>352</v>
      </c>
      <c r="T15" s="12" t="s">
        <v>361</v>
      </c>
      <c r="U15" s="14"/>
      <c r="V15" s="3"/>
    </row>
    <row r="16" customFormat="false" ht="15" hidden="false" customHeight="true" outlineLevel="0" collapsed="false">
      <c r="A16" s="12" t="s">
        <v>397</v>
      </c>
      <c r="B16" s="12" t="s">
        <v>343</v>
      </c>
      <c r="C16" s="12" t="s">
        <v>264</v>
      </c>
      <c r="D16" s="12" t="s">
        <v>398</v>
      </c>
      <c r="E16" s="12" t="s">
        <v>266</v>
      </c>
      <c r="F16" s="12" t="s">
        <v>257</v>
      </c>
      <c r="G16" s="12" t="s">
        <v>130</v>
      </c>
      <c r="H16" s="13" t="s">
        <v>129</v>
      </c>
      <c r="I16" s="13" t="s">
        <v>133</v>
      </c>
      <c r="J16" s="12" t="s">
        <v>359</v>
      </c>
      <c r="K16" s="12" t="s">
        <v>392</v>
      </c>
      <c r="L16" s="13" t="s">
        <v>234</v>
      </c>
      <c r="M16" s="12" t="s">
        <v>399</v>
      </c>
      <c r="N16" s="13" t="s">
        <v>388</v>
      </c>
      <c r="O16" s="13" t="s">
        <v>350</v>
      </c>
      <c r="P16" s="13" t="n">
        <v>30</v>
      </c>
      <c r="Q16" s="12" t="s">
        <v>368</v>
      </c>
      <c r="R16" s="12" t="s">
        <v>396</v>
      </c>
      <c r="S16" s="12" t="s">
        <v>352</v>
      </c>
      <c r="T16" s="12" t="s">
        <v>361</v>
      </c>
      <c r="U16" s="14"/>
      <c r="V16" s="15" t="s">
        <v>400</v>
      </c>
    </row>
    <row r="17" customFormat="false" ht="15" hidden="false" customHeight="true" outlineLevel="0" collapsed="false">
      <c r="A17" s="12" t="s">
        <v>401</v>
      </c>
      <c r="B17" s="12" t="s">
        <v>343</v>
      </c>
      <c r="C17" s="12" t="s">
        <v>210</v>
      </c>
      <c r="D17" s="12" t="s">
        <v>402</v>
      </c>
      <c r="E17" s="12" t="s">
        <v>214</v>
      </c>
      <c r="F17" s="12" t="s">
        <v>212</v>
      </c>
      <c r="G17" s="12" t="s">
        <v>130</v>
      </c>
      <c r="H17" s="13" t="s">
        <v>129</v>
      </c>
      <c r="I17" s="13" t="s">
        <v>133</v>
      </c>
      <c r="J17" s="12" t="s">
        <v>164</v>
      </c>
      <c r="K17" s="12" t="s">
        <v>347</v>
      </c>
      <c r="L17" s="13" t="s">
        <v>131</v>
      </c>
      <c r="M17" s="12" t="s">
        <v>403</v>
      </c>
      <c r="N17" s="13" t="s">
        <v>388</v>
      </c>
      <c r="O17" s="13" t="s">
        <v>404</v>
      </c>
      <c r="P17" s="13" t="n">
        <v>5</v>
      </c>
      <c r="Q17" s="12" t="s">
        <v>368</v>
      </c>
      <c r="R17" s="12" t="s">
        <v>405</v>
      </c>
      <c r="S17" s="12" t="s">
        <v>352</v>
      </c>
      <c r="T17" s="12" t="s">
        <v>361</v>
      </c>
      <c r="U17" s="14"/>
      <c r="V17" s="3"/>
    </row>
    <row r="18" customFormat="false" ht="15" hidden="false" customHeight="true" outlineLevel="0" collapsed="false">
      <c r="A18" s="12" t="s">
        <v>406</v>
      </c>
      <c r="B18" s="12" t="s">
        <v>343</v>
      </c>
      <c r="C18" s="12" t="s">
        <v>215</v>
      </c>
      <c r="D18" s="12" t="s">
        <v>407</v>
      </c>
      <c r="E18" s="12" t="s">
        <v>217</v>
      </c>
      <c r="F18" s="12" t="s">
        <v>212</v>
      </c>
      <c r="G18" s="12" t="s">
        <v>130</v>
      </c>
      <c r="H18" s="13" t="s">
        <v>129</v>
      </c>
      <c r="I18" s="13" t="s">
        <v>133</v>
      </c>
      <c r="J18" s="12" t="s">
        <v>359</v>
      </c>
      <c r="K18" s="12" t="s">
        <v>347</v>
      </c>
      <c r="L18" s="13" t="s">
        <v>131</v>
      </c>
      <c r="M18" s="12" t="s">
        <v>408</v>
      </c>
      <c r="N18" s="13" t="s">
        <v>388</v>
      </c>
      <c r="O18" s="13" t="s">
        <v>404</v>
      </c>
      <c r="P18" s="13" t="n">
        <v>5</v>
      </c>
      <c r="Q18" s="12" t="s">
        <v>368</v>
      </c>
      <c r="R18" s="12" t="s">
        <v>405</v>
      </c>
      <c r="S18" s="12" t="s">
        <v>352</v>
      </c>
      <c r="T18" s="12" t="s">
        <v>361</v>
      </c>
      <c r="U18" s="14"/>
      <c r="V18" s="3"/>
    </row>
    <row r="19" customFormat="false" ht="15" hidden="false" customHeight="true" outlineLevel="0" collapsed="false">
      <c r="A19" s="12" t="s">
        <v>409</v>
      </c>
      <c r="B19" s="12" t="s">
        <v>343</v>
      </c>
      <c r="C19" s="12" t="s">
        <v>218</v>
      </c>
      <c r="D19" s="12" t="s">
        <v>410</v>
      </c>
      <c r="E19" s="12" t="s">
        <v>221</v>
      </c>
      <c r="F19" s="12" t="s">
        <v>212</v>
      </c>
      <c r="G19" s="12" t="s">
        <v>130</v>
      </c>
      <c r="H19" s="13" t="s">
        <v>163</v>
      </c>
      <c r="I19" s="13" t="s">
        <v>133</v>
      </c>
      <c r="J19" s="12" t="s">
        <v>164</v>
      </c>
      <c r="K19" s="12" t="s">
        <v>347</v>
      </c>
      <c r="L19" s="13" t="s">
        <v>131</v>
      </c>
      <c r="M19" s="12" t="s">
        <v>411</v>
      </c>
      <c r="N19" s="13" t="s">
        <v>388</v>
      </c>
      <c r="O19" s="13" t="s">
        <v>350</v>
      </c>
      <c r="P19" s="13" t="n">
        <v>7</v>
      </c>
      <c r="Q19" s="12" t="s">
        <v>368</v>
      </c>
      <c r="R19" s="12" t="s">
        <v>405</v>
      </c>
      <c r="S19" s="12" t="s">
        <v>352</v>
      </c>
      <c r="T19" s="12" t="s">
        <v>361</v>
      </c>
      <c r="U19" s="14"/>
      <c r="V19" s="3"/>
    </row>
    <row r="20" customFormat="false" ht="15" hidden="false" customHeight="true" outlineLevel="0" collapsed="false">
      <c r="A20" s="12" t="s">
        <v>412</v>
      </c>
      <c r="B20" s="12" t="s">
        <v>151</v>
      </c>
      <c r="C20" s="12" t="s">
        <v>153</v>
      </c>
      <c r="D20" s="12" t="s">
        <v>413</v>
      </c>
      <c r="E20" s="12" t="s">
        <v>155</v>
      </c>
      <c r="F20" s="12" t="s">
        <v>128</v>
      </c>
      <c r="G20" s="12" t="s">
        <v>130</v>
      </c>
      <c r="H20" s="13" t="s">
        <v>129</v>
      </c>
      <c r="I20" s="13" t="s">
        <v>133</v>
      </c>
      <c r="J20" s="12" t="s">
        <v>346</v>
      </c>
      <c r="K20" s="12" t="s">
        <v>347</v>
      </c>
      <c r="L20" s="13" t="s">
        <v>131</v>
      </c>
      <c r="M20" s="12" t="s">
        <v>414</v>
      </c>
      <c r="N20" s="13" t="s">
        <v>388</v>
      </c>
      <c r="O20" s="13" t="s">
        <v>350</v>
      </c>
      <c r="P20" s="13" t="n">
        <v>25</v>
      </c>
      <c r="Q20" s="12" t="s">
        <v>351</v>
      </c>
      <c r="R20" s="12"/>
      <c r="S20" s="12" t="s">
        <v>352</v>
      </c>
      <c r="T20" s="12" t="s">
        <v>353</v>
      </c>
      <c r="U20" s="14"/>
      <c r="V20" s="3"/>
    </row>
    <row r="21" customFormat="false" ht="15" hidden="false" customHeight="true" outlineLevel="0" collapsed="false">
      <c r="A21" s="12" t="s">
        <v>415</v>
      </c>
      <c r="B21" s="12" t="s">
        <v>151</v>
      </c>
      <c r="C21" s="12" t="s">
        <v>149</v>
      </c>
      <c r="D21" s="12" t="s">
        <v>416</v>
      </c>
      <c r="E21" s="12" t="s">
        <v>152</v>
      </c>
      <c r="F21" s="12" t="s">
        <v>128</v>
      </c>
      <c r="G21" s="12" t="s">
        <v>130</v>
      </c>
      <c r="H21" s="13" t="s">
        <v>129</v>
      </c>
      <c r="I21" s="13" t="s">
        <v>133</v>
      </c>
      <c r="J21" s="12" t="s">
        <v>346</v>
      </c>
      <c r="K21" s="12" t="s">
        <v>347</v>
      </c>
      <c r="L21" s="13" t="s">
        <v>131</v>
      </c>
      <c r="M21" s="12" t="s">
        <v>414</v>
      </c>
      <c r="N21" s="13" t="s">
        <v>388</v>
      </c>
      <c r="O21" s="13" t="s">
        <v>350</v>
      </c>
      <c r="P21" s="13" t="n">
        <v>25</v>
      </c>
      <c r="Q21" s="12" t="s">
        <v>351</v>
      </c>
      <c r="R21" s="12"/>
      <c r="S21" s="12" t="s">
        <v>352</v>
      </c>
      <c r="T21" s="12" t="s">
        <v>353</v>
      </c>
      <c r="U21" s="14"/>
      <c r="V21" s="3"/>
    </row>
    <row r="22" customFormat="false" ht="15" hidden="false" customHeight="true" outlineLevel="0" collapsed="false">
      <c r="A22" s="12" t="s">
        <v>417</v>
      </c>
      <c r="B22" s="12" t="s">
        <v>151</v>
      </c>
      <c r="C22" s="12" t="s">
        <v>182</v>
      </c>
      <c r="D22" s="12" t="s">
        <v>358</v>
      </c>
      <c r="E22" s="12" t="s">
        <v>184</v>
      </c>
      <c r="F22" s="12" t="s">
        <v>174</v>
      </c>
      <c r="G22" s="12" t="s">
        <v>130</v>
      </c>
      <c r="H22" s="13" t="s">
        <v>129</v>
      </c>
      <c r="I22" s="13" t="s">
        <v>133</v>
      </c>
      <c r="J22" s="12" t="s">
        <v>359</v>
      </c>
      <c r="K22" s="12" t="s">
        <v>347</v>
      </c>
      <c r="L22" s="13" t="s">
        <v>131</v>
      </c>
      <c r="M22" s="12" t="s">
        <v>348</v>
      </c>
      <c r="N22" s="13" t="s">
        <v>349</v>
      </c>
      <c r="O22" s="13" t="s">
        <v>350</v>
      </c>
      <c r="P22" s="13" t="n">
        <v>0</v>
      </c>
      <c r="Q22" s="12" t="s">
        <v>360</v>
      </c>
      <c r="R22" s="12" t="s">
        <v>346</v>
      </c>
      <c r="S22" s="12" t="s">
        <v>352</v>
      </c>
      <c r="T22" s="12" t="s">
        <v>361</v>
      </c>
      <c r="U22" s="14"/>
      <c r="V22" s="3"/>
    </row>
    <row r="23" customFormat="false" ht="15" hidden="false" customHeight="true" outlineLevel="0" collapsed="false">
      <c r="A23" s="12" t="s">
        <v>418</v>
      </c>
      <c r="B23" s="12" t="s">
        <v>151</v>
      </c>
      <c r="C23" s="12" t="s">
        <v>172</v>
      </c>
      <c r="D23" s="12" t="s">
        <v>363</v>
      </c>
      <c r="E23" s="12" t="s">
        <v>364</v>
      </c>
      <c r="F23" s="12" t="s">
        <v>174</v>
      </c>
      <c r="G23" s="12" t="s">
        <v>130</v>
      </c>
      <c r="H23" s="13" t="s">
        <v>129</v>
      </c>
      <c r="I23" s="13" t="s">
        <v>133</v>
      </c>
      <c r="J23" s="12" t="s">
        <v>359</v>
      </c>
      <c r="K23" s="12" t="s">
        <v>347</v>
      </c>
      <c r="L23" s="13" t="s">
        <v>131</v>
      </c>
      <c r="M23" s="12" t="s">
        <v>348</v>
      </c>
      <c r="N23" s="13" t="s">
        <v>349</v>
      </c>
      <c r="O23" s="13" t="s">
        <v>350</v>
      </c>
      <c r="P23" s="13" t="n">
        <v>0</v>
      </c>
      <c r="Q23" s="12" t="s">
        <v>360</v>
      </c>
      <c r="R23" s="12" t="s">
        <v>346</v>
      </c>
      <c r="S23" s="12" t="s">
        <v>352</v>
      </c>
      <c r="T23" s="12" t="s">
        <v>361</v>
      </c>
      <c r="U23" s="14"/>
      <c r="V23" s="15" t="s">
        <v>365</v>
      </c>
    </row>
    <row r="24" customFormat="false" ht="15" hidden="false" customHeight="true" outlineLevel="0" collapsed="false">
      <c r="A24" s="12" t="s">
        <v>419</v>
      </c>
      <c r="B24" s="12" t="s">
        <v>151</v>
      </c>
      <c r="C24" s="12" t="s">
        <v>231</v>
      </c>
      <c r="D24" s="12" t="s">
        <v>385</v>
      </c>
      <c r="E24" s="12" t="s">
        <v>420</v>
      </c>
      <c r="F24" s="12" t="s">
        <v>233</v>
      </c>
      <c r="G24" s="12" t="s">
        <v>130</v>
      </c>
      <c r="H24" s="13" t="s">
        <v>129</v>
      </c>
      <c r="I24" s="13" t="s">
        <v>133</v>
      </c>
      <c r="J24" s="12" t="s">
        <v>164</v>
      </c>
      <c r="K24" s="12" t="s">
        <v>392</v>
      </c>
      <c r="L24" s="13" t="s">
        <v>234</v>
      </c>
      <c r="M24" s="12" t="s">
        <v>387</v>
      </c>
      <c r="N24" s="13" t="s">
        <v>388</v>
      </c>
      <c r="O24" s="13" t="s">
        <v>350</v>
      </c>
      <c r="P24" s="13" t="n">
        <v>20</v>
      </c>
      <c r="Q24" s="12" t="s">
        <v>368</v>
      </c>
      <c r="R24" s="12" t="s">
        <v>233</v>
      </c>
      <c r="S24" s="12" t="s">
        <v>352</v>
      </c>
      <c r="T24" s="12" t="s">
        <v>361</v>
      </c>
      <c r="U24" s="14"/>
      <c r="V24" s="3"/>
    </row>
    <row r="25" customFormat="false" ht="15" hidden="false" customHeight="true" outlineLevel="0" collapsed="false">
      <c r="A25" s="12" t="s">
        <v>421</v>
      </c>
      <c r="B25" s="12" t="s">
        <v>151</v>
      </c>
      <c r="C25" s="12" t="s">
        <v>236</v>
      </c>
      <c r="D25" s="12" t="s">
        <v>391</v>
      </c>
      <c r="E25" s="12" t="s">
        <v>238</v>
      </c>
      <c r="F25" s="12" t="s">
        <v>233</v>
      </c>
      <c r="G25" s="12" t="s">
        <v>130</v>
      </c>
      <c r="H25" s="13" t="s">
        <v>129</v>
      </c>
      <c r="I25" s="13" t="s">
        <v>133</v>
      </c>
      <c r="J25" s="12" t="s">
        <v>359</v>
      </c>
      <c r="K25" s="12" t="s">
        <v>392</v>
      </c>
      <c r="L25" s="13" t="s">
        <v>234</v>
      </c>
      <c r="M25" s="12" t="s">
        <v>422</v>
      </c>
      <c r="N25" s="13" t="s">
        <v>388</v>
      </c>
      <c r="O25" s="13" t="s">
        <v>350</v>
      </c>
      <c r="P25" s="13" t="n">
        <v>21</v>
      </c>
      <c r="Q25" s="12" t="s">
        <v>368</v>
      </c>
      <c r="R25" s="12" t="s">
        <v>233</v>
      </c>
      <c r="S25" s="12" t="s">
        <v>352</v>
      </c>
      <c r="T25" s="12" t="s">
        <v>361</v>
      </c>
      <c r="U25" s="14"/>
      <c r="V25" s="3"/>
    </row>
    <row r="26" customFormat="false" ht="15" hidden="false" customHeight="true" outlineLevel="0" collapsed="false">
      <c r="A26" s="12" t="s">
        <v>423</v>
      </c>
      <c r="B26" s="12" t="s">
        <v>151</v>
      </c>
      <c r="C26" s="12" t="s">
        <v>243</v>
      </c>
      <c r="D26" s="12" t="s">
        <v>424</v>
      </c>
      <c r="E26" s="12" t="s">
        <v>425</v>
      </c>
      <c r="F26" s="12" t="s">
        <v>233</v>
      </c>
      <c r="G26" s="12" t="s">
        <v>130</v>
      </c>
      <c r="H26" s="13" t="s">
        <v>163</v>
      </c>
      <c r="I26" s="13" t="s">
        <v>133</v>
      </c>
      <c r="J26" s="12" t="s">
        <v>164</v>
      </c>
      <c r="K26" s="12" t="s">
        <v>392</v>
      </c>
      <c r="L26" s="13" t="s">
        <v>234</v>
      </c>
      <c r="M26" s="12" t="s">
        <v>387</v>
      </c>
      <c r="N26" s="13" t="s">
        <v>388</v>
      </c>
      <c r="O26" s="13" t="s">
        <v>350</v>
      </c>
      <c r="P26" s="13" t="n">
        <v>20</v>
      </c>
      <c r="Q26" s="12" t="s">
        <v>368</v>
      </c>
      <c r="R26" s="12" t="s">
        <v>426</v>
      </c>
      <c r="S26" s="12" t="s">
        <v>352</v>
      </c>
      <c r="T26" s="12" t="s">
        <v>361</v>
      </c>
      <c r="U26" s="14"/>
      <c r="V26" s="15" t="s">
        <v>427</v>
      </c>
    </row>
    <row r="27" customFormat="false" ht="15" hidden="false" customHeight="true" outlineLevel="0" collapsed="false">
      <c r="A27" s="12" t="s">
        <v>428</v>
      </c>
      <c r="B27" s="12" t="s">
        <v>151</v>
      </c>
      <c r="C27" s="12" t="s">
        <v>271</v>
      </c>
      <c r="D27" s="12" t="s">
        <v>429</v>
      </c>
      <c r="E27" s="12" t="s">
        <v>273</v>
      </c>
      <c r="F27" s="12" t="s">
        <v>257</v>
      </c>
      <c r="G27" s="12" t="s">
        <v>130</v>
      </c>
      <c r="H27" s="13" t="s">
        <v>129</v>
      </c>
      <c r="I27" s="13" t="s">
        <v>158</v>
      </c>
      <c r="J27" s="12" t="s">
        <v>359</v>
      </c>
      <c r="K27" s="12" t="s">
        <v>392</v>
      </c>
      <c r="L27" s="13" t="s">
        <v>234</v>
      </c>
      <c r="M27" s="12" t="s">
        <v>430</v>
      </c>
      <c r="N27" s="13" t="s">
        <v>388</v>
      </c>
      <c r="O27" s="13" t="s">
        <v>350</v>
      </c>
      <c r="P27" s="13" t="n">
        <v>31</v>
      </c>
      <c r="Q27" s="12" t="s">
        <v>368</v>
      </c>
      <c r="R27" s="12" t="s">
        <v>426</v>
      </c>
      <c r="S27" s="12" t="s">
        <v>352</v>
      </c>
      <c r="T27" s="12" t="s">
        <v>361</v>
      </c>
      <c r="U27" s="14"/>
      <c r="V27" s="3"/>
    </row>
    <row r="28" customFormat="false" ht="30" hidden="false" customHeight="true" outlineLevel="0" collapsed="false">
      <c r="A28" s="12" t="s">
        <v>431</v>
      </c>
      <c r="B28" s="12" t="s">
        <v>151</v>
      </c>
      <c r="C28" s="12" t="s">
        <v>274</v>
      </c>
      <c r="D28" s="12" t="s">
        <v>432</v>
      </c>
      <c r="E28" s="12" t="s">
        <v>276</v>
      </c>
      <c r="F28" s="12" t="s">
        <v>257</v>
      </c>
      <c r="G28" s="12" t="s">
        <v>130</v>
      </c>
      <c r="H28" s="13" t="s">
        <v>129</v>
      </c>
      <c r="I28" s="13" t="s">
        <v>133</v>
      </c>
      <c r="J28" s="12" t="s">
        <v>359</v>
      </c>
      <c r="K28" s="12" t="s">
        <v>392</v>
      </c>
      <c r="L28" s="13" t="s">
        <v>234</v>
      </c>
      <c r="M28" s="12" t="s">
        <v>430</v>
      </c>
      <c r="N28" s="13" t="s">
        <v>388</v>
      </c>
      <c r="O28" s="13" t="s">
        <v>350</v>
      </c>
      <c r="P28" s="13" t="n">
        <v>31</v>
      </c>
      <c r="Q28" s="12" t="s">
        <v>368</v>
      </c>
      <c r="R28" s="12" t="s">
        <v>233</v>
      </c>
      <c r="S28" s="12" t="s">
        <v>352</v>
      </c>
      <c r="T28" s="12" t="s">
        <v>361</v>
      </c>
      <c r="U28" s="14"/>
      <c r="V28" s="15" t="s">
        <v>433</v>
      </c>
    </row>
    <row r="29" customFormat="false" ht="15" hidden="false" customHeight="true" outlineLevel="0" collapsed="false">
      <c r="A29" s="12" t="s">
        <v>434</v>
      </c>
      <c r="B29" s="12" t="s">
        <v>151</v>
      </c>
      <c r="C29" s="12" t="s">
        <v>300</v>
      </c>
      <c r="D29" s="12" t="s">
        <v>301</v>
      </c>
      <c r="E29" s="12" t="s">
        <v>303</v>
      </c>
      <c r="F29" s="12" t="s">
        <v>302</v>
      </c>
      <c r="G29" s="12" t="s">
        <v>302</v>
      </c>
      <c r="H29" s="13" t="s">
        <v>163</v>
      </c>
      <c r="I29" s="13" t="s">
        <v>133</v>
      </c>
      <c r="J29" s="12" t="s">
        <v>164</v>
      </c>
      <c r="K29" s="12" t="s">
        <v>347</v>
      </c>
      <c r="L29" s="13" t="s">
        <v>250</v>
      </c>
      <c r="M29" s="12" t="s">
        <v>411</v>
      </c>
      <c r="N29" s="13" t="s">
        <v>388</v>
      </c>
      <c r="O29" s="13" t="s">
        <v>350</v>
      </c>
      <c r="P29" s="13" t="n">
        <v>7</v>
      </c>
      <c r="Q29" s="12" t="s">
        <v>368</v>
      </c>
      <c r="R29" s="12" t="s">
        <v>435</v>
      </c>
      <c r="S29" s="12"/>
      <c r="T29" s="12" t="s">
        <v>361</v>
      </c>
      <c r="U29" s="14"/>
      <c r="V29" s="15" t="s">
        <v>436</v>
      </c>
    </row>
    <row r="30" customFormat="false" ht="15" hidden="false" customHeight="true" outlineLevel="0" collapsed="false">
      <c r="A30" s="12" t="s">
        <v>437</v>
      </c>
      <c r="B30" s="12" t="s">
        <v>151</v>
      </c>
      <c r="C30" s="12" t="s">
        <v>304</v>
      </c>
      <c r="D30" s="12" t="s">
        <v>305</v>
      </c>
      <c r="E30" s="12" t="s">
        <v>438</v>
      </c>
      <c r="F30" s="12" t="s">
        <v>302</v>
      </c>
      <c r="G30" s="12" t="s">
        <v>302</v>
      </c>
      <c r="H30" s="13" t="s">
        <v>163</v>
      </c>
      <c r="I30" s="13" t="s">
        <v>133</v>
      </c>
      <c r="J30" s="12" t="s">
        <v>164</v>
      </c>
      <c r="K30" s="12" t="s">
        <v>347</v>
      </c>
      <c r="L30" s="13" t="s">
        <v>250</v>
      </c>
      <c r="M30" s="12" t="s">
        <v>411</v>
      </c>
      <c r="N30" s="13" t="s">
        <v>388</v>
      </c>
      <c r="O30" s="13" t="s">
        <v>350</v>
      </c>
      <c r="P30" s="13" t="n">
        <v>7</v>
      </c>
      <c r="Q30" s="12" t="s">
        <v>368</v>
      </c>
      <c r="R30" s="12" t="s">
        <v>435</v>
      </c>
      <c r="S30" s="12"/>
      <c r="T30" s="12"/>
      <c r="U30" s="14"/>
      <c r="V30" s="15" t="s">
        <v>439</v>
      </c>
    </row>
    <row r="31" customFormat="false" ht="15" hidden="false" customHeight="true" outlineLevel="0" collapsed="false">
      <c r="A31" s="12" t="s">
        <v>440</v>
      </c>
      <c r="B31" s="12" t="s">
        <v>151</v>
      </c>
      <c r="C31" s="12" t="s">
        <v>307</v>
      </c>
      <c r="D31" s="12" t="s">
        <v>441</v>
      </c>
      <c r="E31" s="12" t="s">
        <v>442</v>
      </c>
      <c r="F31" s="12" t="s">
        <v>302</v>
      </c>
      <c r="G31" s="12" t="s">
        <v>302</v>
      </c>
      <c r="H31" s="13" t="s">
        <v>163</v>
      </c>
      <c r="I31" s="13" t="s">
        <v>133</v>
      </c>
      <c r="J31" s="12" t="s">
        <v>359</v>
      </c>
      <c r="K31" s="12" t="s">
        <v>347</v>
      </c>
      <c r="L31" s="13" t="s">
        <v>250</v>
      </c>
      <c r="M31" s="12" t="s">
        <v>443</v>
      </c>
      <c r="N31" s="13" t="s">
        <v>388</v>
      </c>
      <c r="O31" s="13" t="s">
        <v>404</v>
      </c>
      <c r="P31" s="13" t="n">
        <v>1</v>
      </c>
      <c r="Q31" s="12" t="s">
        <v>368</v>
      </c>
      <c r="R31" s="12" t="s">
        <v>435</v>
      </c>
      <c r="S31" s="12" t="s">
        <v>352</v>
      </c>
      <c r="T31" s="12" t="s">
        <v>361</v>
      </c>
      <c r="U31" s="14"/>
      <c r="V31" s="3"/>
    </row>
    <row r="32" customFormat="false" ht="15" hidden="false" customHeight="true" outlineLevel="0" collapsed="false">
      <c r="A32" s="12" t="s">
        <v>444</v>
      </c>
      <c r="B32" s="12" t="s">
        <v>151</v>
      </c>
      <c r="C32" s="12" t="s">
        <v>291</v>
      </c>
      <c r="D32" s="12" t="s">
        <v>445</v>
      </c>
      <c r="E32" s="12" t="s">
        <v>293</v>
      </c>
      <c r="F32" s="12" t="s">
        <v>279</v>
      </c>
      <c r="G32" s="12" t="s">
        <v>130</v>
      </c>
      <c r="H32" s="13" t="s">
        <v>163</v>
      </c>
      <c r="I32" s="13" t="s">
        <v>133</v>
      </c>
      <c r="J32" s="12" t="s">
        <v>164</v>
      </c>
      <c r="K32" s="12" t="s">
        <v>347</v>
      </c>
      <c r="L32" s="13" t="s">
        <v>131</v>
      </c>
      <c r="M32" s="12" t="s">
        <v>446</v>
      </c>
      <c r="N32" s="13" t="s">
        <v>388</v>
      </c>
      <c r="O32" s="13" t="s">
        <v>350</v>
      </c>
      <c r="P32" s="13" t="n">
        <v>3</v>
      </c>
      <c r="Q32" s="12" t="s">
        <v>368</v>
      </c>
      <c r="R32" s="12" t="s">
        <v>447</v>
      </c>
      <c r="S32" s="12" t="s">
        <v>352</v>
      </c>
      <c r="T32" s="12" t="s">
        <v>361</v>
      </c>
      <c r="U32" s="14"/>
      <c r="V32" s="15" t="s">
        <v>400</v>
      </c>
    </row>
    <row r="33" customFormat="false" ht="30" hidden="false" customHeight="true" outlineLevel="0" collapsed="false">
      <c r="A33" s="12" t="s">
        <v>448</v>
      </c>
      <c r="B33" s="12" t="s">
        <v>151</v>
      </c>
      <c r="C33" s="12" t="s">
        <v>297</v>
      </c>
      <c r="D33" s="12" t="s">
        <v>449</v>
      </c>
      <c r="E33" s="12" t="s">
        <v>299</v>
      </c>
      <c r="F33" s="12" t="s">
        <v>279</v>
      </c>
      <c r="G33" s="12" t="s">
        <v>169</v>
      </c>
      <c r="H33" s="13" t="s">
        <v>163</v>
      </c>
      <c r="I33" s="13" t="s">
        <v>158</v>
      </c>
      <c r="J33" s="12" t="s">
        <v>164</v>
      </c>
      <c r="K33" s="12" t="s">
        <v>347</v>
      </c>
      <c r="L33" s="13" t="s">
        <v>250</v>
      </c>
      <c r="M33" s="12" t="s">
        <v>411</v>
      </c>
      <c r="N33" s="13" t="s">
        <v>388</v>
      </c>
      <c r="O33" s="13" t="s">
        <v>350</v>
      </c>
      <c r="P33" s="13" t="n">
        <v>7</v>
      </c>
      <c r="Q33" s="12" t="s">
        <v>368</v>
      </c>
      <c r="R33" s="12" t="s">
        <v>447</v>
      </c>
      <c r="S33" s="12" t="s">
        <v>352</v>
      </c>
      <c r="T33" s="12"/>
      <c r="U33" s="14"/>
      <c r="V33" s="15" t="s">
        <v>450</v>
      </c>
    </row>
    <row r="34" customFormat="false" ht="45" hidden="false" customHeight="true" outlineLevel="0" collapsed="false">
      <c r="A34" s="12" t="s">
        <v>451</v>
      </c>
      <c r="B34" s="12" t="s">
        <v>151</v>
      </c>
      <c r="C34" s="12" t="s">
        <v>294</v>
      </c>
      <c r="D34" s="12"/>
      <c r="E34" s="12" t="s">
        <v>452</v>
      </c>
      <c r="F34" s="12" t="s">
        <v>279</v>
      </c>
      <c r="G34" s="12" t="s">
        <v>130</v>
      </c>
      <c r="H34" s="13" t="s">
        <v>129</v>
      </c>
      <c r="I34" s="13" t="s">
        <v>133</v>
      </c>
      <c r="J34" s="12" t="s">
        <v>359</v>
      </c>
      <c r="K34" s="12"/>
      <c r="L34" s="13" t="s">
        <v>131</v>
      </c>
      <c r="M34" s="12" t="s">
        <v>453</v>
      </c>
      <c r="N34" s="13" t="s">
        <v>388</v>
      </c>
      <c r="O34" s="13" t="s">
        <v>350</v>
      </c>
      <c r="P34" s="13" t="n">
        <v>5</v>
      </c>
      <c r="Q34" s="12" t="s">
        <v>368</v>
      </c>
      <c r="R34" s="12" t="s">
        <v>447</v>
      </c>
      <c r="S34" s="12"/>
      <c r="T34" s="12"/>
      <c r="U34" s="14"/>
      <c r="V34" s="15" t="s">
        <v>454</v>
      </c>
    </row>
    <row r="35" customFormat="false" ht="15" hidden="false" customHeight="true" outlineLevel="0" collapsed="false">
      <c r="A35" s="12" t="s">
        <v>455</v>
      </c>
      <c r="B35" s="12" t="s">
        <v>151</v>
      </c>
      <c r="C35" s="12" t="s">
        <v>313</v>
      </c>
      <c r="D35" s="12" t="s">
        <v>456</v>
      </c>
      <c r="E35" s="12" t="s">
        <v>315</v>
      </c>
      <c r="F35" s="12" t="s">
        <v>249</v>
      </c>
      <c r="G35" s="12" t="s">
        <v>249</v>
      </c>
      <c r="H35" s="13" t="s">
        <v>163</v>
      </c>
      <c r="I35" s="13" t="s">
        <v>133</v>
      </c>
      <c r="J35" s="12" t="s">
        <v>164</v>
      </c>
      <c r="K35" s="12" t="s">
        <v>347</v>
      </c>
      <c r="L35" s="13" t="s">
        <v>250</v>
      </c>
      <c r="M35" s="12" t="s">
        <v>411</v>
      </c>
      <c r="N35" s="13" t="s">
        <v>388</v>
      </c>
      <c r="O35" s="13" t="s">
        <v>350</v>
      </c>
      <c r="P35" s="13" t="n">
        <v>7</v>
      </c>
      <c r="Q35" s="12" t="s">
        <v>368</v>
      </c>
      <c r="R35" s="12" t="s">
        <v>457</v>
      </c>
      <c r="S35" s="12" t="s">
        <v>352</v>
      </c>
      <c r="T35" s="12" t="s">
        <v>361</v>
      </c>
      <c r="U35" s="14"/>
      <c r="V35" s="3"/>
    </row>
    <row r="36" customFormat="false" ht="15" hidden="false" customHeight="true" outlineLevel="0" collapsed="false">
      <c r="A36" s="12" t="s">
        <v>458</v>
      </c>
      <c r="B36" s="12" t="s">
        <v>151</v>
      </c>
      <c r="C36" s="12" t="s">
        <v>316</v>
      </c>
      <c r="D36" s="12" t="s">
        <v>459</v>
      </c>
      <c r="E36" s="12" t="s">
        <v>318</v>
      </c>
      <c r="F36" s="12" t="s">
        <v>249</v>
      </c>
      <c r="G36" s="12" t="s">
        <v>249</v>
      </c>
      <c r="H36" s="13" t="s">
        <v>163</v>
      </c>
      <c r="I36" s="13" t="s">
        <v>133</v>
      </c>
      <c r="J36" s="12" t="s">
        <v>164</v>
      </c>
      <c r="K36" s="12" t="s">
        <v>347</v>
      </c>
      <c r="L36" s="13" t="s">
        <v>250</v>
      </c>
      <c r="M36" s="12" t="s">
        <v>411</v>
      </c>
      <c r="N36" s="13" t="s">
        <v>388</v>
      </c>
      <c r="O36" s="13" t="s">
        <v>350</v>
      </c>
      <c r="P36" s="13" t="n">
        <v>7</v>
      </c>
      <c r="Q36" s="12" t="s">
        <v>368</v>
      </c>
      <c r="R36" s="12" t="s">
        <v>457</v>
      </c>
      <c r="S36" s="12"/>
      <c r="T36" s="12"/>
      <c r="U36" s="14"/>
      <c r="V36" s="15" t="s">
        <v>439</v>
      </c>
    </row>
    <row r="37" customFormat="false" ht="30" hidden="false" customHeight="true" outlineLevel="0" collapsed="false">
      <c r="A37" s="12" t="s">
        <v>460</v>
      </c>
      <c r="B37" s="12" t="s">
        <v>151</v>
      </c>
      <c r="C37" s="12" t="s">
        <v>319</v>
      </c>
      <c r="D37" s="12" t="s">
        <v>461</v>
      </c>
      <c r="E37" s="12" t="s">
        <v>462</v>
      </c>
      <c r="F37" s="12" t="s">
        <v>249</v>
      </c>
      <c r="G37" s="12" t="s">
        <v>249</v>
      </c>
      <c r="H37" s="13" t="s">
        <v>163</v>
      </c>
      <c r="I37" s="13" t="s">
        <v>133</v>
      </c>
      <c r="J37" s="12" t="s">
        <v>359</v>
      </c>
      <c r="K37" s="12" t="s">
        <v>347</v>
      </c>
      <c r="L37" s="13" t="s">
        <v>250</v>
      </c>
      <c r="M37" s="12" t="s">
        <v>463</v>
      </c>
      <c r="N37" s="13" t="s">
        <v>388</v>
      </c>
      <c r="O37" s="13" t="s">
        <v>404</v>
      </c>
      <c r="P37" s="13" t="n">
        <v>10</v>
      </c>
      <c r="Q37" s="12" t="s">
        <v>368</v>
      </c>
      <c r="R37" s="12" t="s">
        <v>457</v>
      </c>
      <c r="S37" s="12"/>
      <c r="T37" s="12"/>
      <c r="U37" s="14"/>
      <c r="V37" s="15" t="s">
        <v>464</v>
      </c>
    </row>
    <row r="38" customFormat="false" ht="15" hidden="false" customHeight="true" outlineLevel="0" collapsed="false">
      <c r="A38" s="12" t="s">
        <v>465</v>
      </c>
      <c r="B38" s="12" t="s">
        <v>151</v>
      </c>
      <c r="C38" s="12" t="s">
        <v>310</v>
      </c>
      <c r="D38" s="12" t="s">
        <v>466</v>
      </c>
      <c r="E38" s="12" t="s">
        <v>467</v>
      </c>
      <c r="F38" s="12" t="s">
        <v>249</v>
      </c>
      <c r="G38" s="12" t="s">
        <v>249</v>
      </c>
      <c r="H38" s="13" t="s">
        <v>163</v>
      </c>
      <c r="I38" s="13" t="s">
        <v>133</v>
      </c>
      <c r="J38" s="12" t="s">
        <v>164</v>
      </c>
      <c r="K38" s="12" t="s">
        <v>347</v>
      </c>
      <c r="L38" s="13" t="s">
        <v>250</v>
      </c>
      <c r="M38" s="12" t="s">
        <v>411</v>
      </c>
      <c r="N38" s="13" t="s">
        <v>388</v>
      </c>
      <c r="O38" s="13" t="s">
        <v>350</v>
      </c>
      <c r="P38" s="13" t="n">
        <v>7</v>
      </c>
      <c r="Q38" s="12" t="s">
        <v>368</v>
      </c>
      <c r="R38" s="12" t="s">
        <v>457</v>
      </c>
      <c r="S38" s="12"/>
      <c r="T38" s="12"/>
      <c r="U38" s="14"/>
      <c r="V38" s="15" t="s">
        <v>439</v>
      </c>
    </row>
    <row r="39" customFormat="false" ht="15" hidden="false" customHeight="true" outlineLevel="0" collapsed="false">
      <c r="A39" s="12" t="s">
        <v>468</v>
      </c>
      <c r="B39" s="12" t="s">
        <v>151</v>
      </c>
      <c r="C39" s="12" t="s">
        <v>239</v>
      </c>
      <c r="D39" s="12" t="s">
        <v>469</v>
      </c>
      <c r="E39" s="12" t="s">
        <v>242</v>
      </c>
      <c r="F39" s="12" t="s">
        <v>233</v>
      </c>
      <c r="G39" s="12" t="s">
        <v>130</v>
      </c>
      <c r="H39" s="13" t="s">
        <v>163</v>
      </c>
      <c r="I39" s="13" t="s">
        <v>133</v>
      </c>
      <c r="J39" s="12" t="s">
        <v>164</v>
      </c>
      <c r="K39" s="12" t="s">
        <v>392</v>
      </c>
      <c r="L39" s="13" t="s">
        <v>234</v>
      </c>
      <c r="M39" s="12" t="s">
        <v>470</v>
      </c>
      <c r="N39" s="13" t="s">
        <v>388</v>
      </c>
      <c r="O39" s="13" t="s">
        <v>350</v>
      </c>
      <c r="P39" s="13" t="n">
        <v>25</v>
      </c>
      <c r="Q39" s="12" t="s">
        <v>368</v>
      </c>
      <c r="R39" s="12" t="s">
        <v>233</v>
      </c>
      <c r="S39" s="12"/>
      <c r="T39" s="12"/>
      <c r="U39" s="14"/>
      <c r="V39" s="15" t="s">
        <v>439</v>
      </c>
    </row>
    <row r="40" customFormat="false" ht="15" hidden="false" customHeight="true" outlineLevel="0" collapsed="false">
      <c r="A40" s="12" t="s">
        <v>471</v>
      </c>
      <c r="B40" s="12" t="s">
        <v>151</v>
      </c>
      <c r="C40" s="12" t="s">
        <v>247</v>
      </c>
      <c r="D40" s="12" t="s">
        <v>472</v>
      </c>
      <c r="E40" s="12" t="s">
        <v>251</v>
      </c>
      <c r="F40" s="12" t="s">
        <v>233</v>
      </c>
      <c r="G40" s="12" t="s">
        <v>249</v>
      </c>
      <c r="H40" s="13" t="s">
        <v>163</v>
      </c>
      <c r="I40" s="13" t="s">
        <v>133</v>
      </c>
      <c r="J40" s="12" t="s">
        <v>164</v>
      </c>
      <c r="K40" s="12" t="s">
        <v>347</v>
      </c>
      <c r="L40" s="13" t="s">
        <v>250</v>
      </c>
      <c r="M40" s="12" t="s">
        <v>411</v>
      </c>
      <c r="N40" s="13" t="s">
        <v>388</v>
      </c>
      <c r="O40" s="13" t="s">
        <v>350</v>
      </c>
      <c r="P40" s="13" t="n">
        <v>7</v>
      </c>
      <c r="Q40" s="12" t="s">
        <v>368</v>
      </c>
      <c r="R40" s="12" t="s">
        <v>233</v>
      </c>
      <c r="S40" s="12"/>
      <c r="T40" s="12"/>
      <c r="U40" s="14"/>
      <c r="V40" s="15" t="s">
        <v>439</v>
      </c>
    </row>
    <row r="41" customFormat="false" ht="15" hidden="false" customHeight="true" outlineLevel="0" collapsed="false">
      <c r="A41" s="12" t="s">
        <v>473</v>
      </c>
      <c r="B41" s="12" t="s">
        <v>151</v>
      </c>
      <c r="C41" s="12" t="s">
        <v>252</v>
      </c>
      <c r="D41" s="12" t="s">
        <v>474</v>
      </c>
      <c r="E41" s="12" t="s">
        <v>254</v>
      </c>
      <c r="F41" s="12" t="s">
        <v>233</v>
      </c>
      <c r="G41" s="12" t="s">
        <v>249</v>
      </c>
      <c r="H41" s="13" t="s">
        <v>163</v>
      </c>
      <c r="I41" s="13" t="s">
        <v>133</v>
      </c>
      <c r="J41" s="12" t="s">
        <v>359</v>
      </c>
      <c r="K41" s="12" t="s">
        <v>347</v>
      </c>
      <c r="L41" s="13" t="s">
        <v>250</v>
      </c>
      <c r="M41" s="12" t="s">
        <v>463</v>
      </c>
      <c r="N41" s="13" t="s">
        <v>388</v>
      </c>
      <c r="O41" s="13" t="s">
        <v>404</v>
      </c>
      <c r="P41" s="13" t="n">
        <v>10</v>
      </c>
      <c r="Q41" s="12" t="s">
        <v>368</v>
      </c>
      <c r="R41" s="12" t="s">
        <v>233</v>
      </c>
      <c r="S41" s="12"/>
      <c r="T41" s="12"/>
      <c r="U41" s="14"/>
      <c r="V41" s="15" t="s">
        <v>439</v>
      </c>
    </row>
    <row r="42" customFormat="false" ht="30" hidden="false" customHeight="true" outlineLevel="0" collapsed="false">
      <c r="A42" s="12" t="s">
        <v>475</v>
      </c>
      <c r="B42" s="12" t="s">
        <v>151</v>
      </c>
      <c r="C42" s="12" t="s">
        <v>319</v>
      </c>
      <c r="D42" s="12" t="s">
        <v>476</v>
      </c>
      <c r="E42" s="12" t="s">
        <v>477</v>
      </c>
      <c r="F42" s="12" t="s">
        <v>249</v>
      </c>
      <c r="G42" s="12" t="s">
        <v>249</v>
      </c>
      <c r="H42" s="13" t="s">
        <v>163</v>
      </c>
      <c r="I42" s="13" t="s">
        <v>133</v>
      </c>
      <c r="J42" s="12" t="s">
        <v>359</v>
      </c>
      <c r="K42" s="12" t="s">
        <v>347</v>
      </c>
      <c r="L42" s="13" t="s">
        <v>250</v>
      </c>
      <c r="M42" s="12" t="s">
        <v>443</v>
      </c>
      <c r="N42" s="13" t="s">
        <v>388</v>
      </c>
      <c r="O42" s="13" t="s">
        <v>404</v>
      </c>
      <c r="P42" s="13" t="n">
        <v>1</v>
      </c>
      <c r="Q42" s="12" t="s">
        <v>368</v>
      </c>
      <c r="R42" s="12" t="s">
        <v>346</v>
      </c>
      <c r="S42" s="12" t="s">
        <v>352</v>
      </c>
      <c r="T42" s="12" t="s">
        <v>361</v>
      </c>
      <c r="U42" s="14"/>
      <c r="V42" s="15" t="s">
        <v>478</v>
      </c>
    </row>
    <row r="43" customFormat="false" ht="15" hidden="false" customHeight="true" outlineLevel="0" collapsed="false">
      <c r="A43" s="12" t="s">
        <v>479</v>
      </c>
      <c r="B43" s="12" t="s">
        <v>151</v>
      </c>
      <c r="C43" s="12" t="s">
        <v>210</v>
      </c>
      <c r="D43" s="12" t="s">
        <v>480</v>
      </c>
      <c r="E43" s="12" t="s">
        <v>214</v>
      </c>
      <c r="F43" s="12" t="s">
        <v>212</v>
      </c>
      <c r="G43" s="12" t="s">
        <v>130</v>
      </c>
      <c r="H43" s="13" t="s">
        <v>129</v>
      </c>
      <c r="I43" s="13" t="s">
        <v>133</v>
      </c>
      <c r="J43" s="12" t="s">
        <v>164</v>
      </c>
      <c r="K43" s="12" t="s">
        <v>347</v>
      </c>
      <c r="L43" s="13" t="s">
        <v>131</v>
      </c>
      <c r="M43" s="12" t="s">
        <v>403</v>
      </c>
      <c r="N43" s="13" t="s">
        <v>388</v>
      </c>
      <c r="O43" s="13" t="s">
        <v>404</v>
      </c>
      <c r="P43" s="13" t="n">
        <v>5</v>
      </c>
      <c r="Q43" s="12" t="s">
        <v>368</v>
      </c>
      <c r="R43" s="12" t="s">
        <v>405</v>
      </c>
      <c r="S43" s="12" t="s">
        <v>352</v>
      </c>
      <c r="T43" s="12" t="s">
        <v>361</v>
      </c>
      <c r="U43" s="14"/>
      <c r="V43" s="3"/>
    </row>
    <row r="44" customFormat="false" ht="15" hidden="false" customHeight="true" outlineLevel="0" collapsed="false">
      <c r="A44" s="12" t="s">
        <v>481</v>
      </c>
      <c r="B44" s="12" t="s">
        <v>151</v>
      </c>
      <c r="C44" s="12" t="s">
        <v>185</v>
      </c>
      <c r="D44" s="12" t="s">
        <v>482</v>
      </c>
      <c r="E44" s="12" t="s">
        <v>190</v>
      </c>
      <c r="F44" s="12" t="s">
        <v>187</v>
      </c>
      <c r="G44" s="12" t="s">
        <v>130</v>
      </c>
      <c r="H44" s="13" t="s">
        <v>129</v>
      </c>
      <c r="I44" s="13" t="s">
        <v>133</v>
      </c>
      <c r="J44" s="12" t="s">
        <v>359</v>
      </c>
      <c r="K44" s="12" t="s">
        <v>347</v>
      </c>
      <c r="L44" s="13" t="s">
        <v>188</v>
      </c>
      <c r="M44" s="12" t="s">
        <v>348</v>
      </c>
      <c r="N44" s="13" t="s">
        <v>349</v>
      </c>
      <c r="O44" s="13" t="s">
        <v>350</v>
      </c>
      <c r="P44" s="13" t="n">
        <v>0</v>
      </c>
      <c r="Q44" s="12" t="s">
        <v>368</v>
      </c>
      <c r="R44" s="12" t="s">
        <v>369</v>
      </c>
      <c r="S44" s="12" t="s">
        <v>352</v>
      </c>
      <c r="T44" s="12" t="s">
        <v>361</v>
      </c>
      <c r="U44" s="14"/>
      <c r="V44" s="3"/>
    </row>
    <row r="45" customFormat="false" ht="15" hidden="false" customHeight="true" outlineLevel="0" collapsed="false">
      <c r="A45" s="12" t="s">
        <v>483</v>
      </c>
      <c r="B45" s="12" t="s">
        <v>151</v>
      </c>
      <c r="C45" s="12" t="s">
        <v>222</v>
      </c>
      <c r="D45" s="12" t="s">
        <v>484</v>
      </c>
      <c r="E45" s="12" t="s">
        <v>485</v>
      </c>
      <c r="F45" s="12" t="s">
        <v>224</v>
      </c>
      <c r="G45" s="12" t="s">
        <v>225</v>
      </c>
      <c r="H45" s="13" t="s">
        <v>129</v>
      </c>
      <c r="I45" s="13" t="s">
        <v>133</v>
      </c>
      <c r="J45" s="12" t="s">
        <v>164</v>
      </c>
      <c r="K45" s="12" t="s">
        <v>347</v>
      </c>
      <c r="L45" s="13" t="s">
        <v>131</v>
      </c>
      <c r="M45" s="12" t="s">
        <v>348</v>
      </c>
      <c r="N45" s="13" t="s">
        <v>349</v>
      </c>
      <c r="O45" s="13" t="s">
        <v>350</v>
      </c>
      <c r="P45" s="13" t="n">
        <v>0</v>
      </c>
      <c r="Q45" s="12" t="s">
        <v>368</v>
      </c>
      <c r="R45" s="12" t="s">
        <v>225</v>
      </c>
      <c r="S45" s="12" t="s">
        <v>352</v>
      </c>
      <c r="T45" s="12" t="s">
        <v>361</v>
      </c>
      <c r="U45" s="14"/>
      <c r="V45" s="3"/>
    </row>
    <row r="46" customFormat="false" ht="15" hidden="false" customHeight="true" outlineLevel="0" collapsed="false">
      <c r="A46" s="12" t="s">
        <v>486</v>
      </c>
      <c r="B46" s="12" t="s">
        <v>151</v>
      </c>
      <c r="C46" s="12" t="s">
        <v>191</v>
      </c>
      <c r="D46" s="12" t="s">
        <v>487</v>
      </c>
      <c r="E46" s="12" t="s">
        <v>193</v>
      </c>
      <c r="F46" s="12" t="s">
        <v>187</v>
      </c>
      <c r="G46" s="12" t="s">
        <v>130</v>
      </c>
      <c r="H46" s="13" t="s">
        <v>129</v>
      </c>
      <c r="I46" s="13" t="s">
        <v>133</v>
      </c>
      <c r="J46" s="12" t="s">
        <v>359</v>
      </c>
      <c r="K46" s="12" t="s">
        <v>347</v>
      </c>
      <c r="L46" s="13" t="s">
        <v>188</v>
      </c>
      <c r="M46" s="12" t="s">
        <v>348</v>
      </c>
      <c r="N46" s="13" t="s">
        <v>349</v>
      </c>
      <c r="O46" s="13" t="s">
        <v>350</v>
      </c>
      <c r="P46" s="13" t="n">
        <v>0</v>
      </c>
      <c r="Q46" s="12" t="s">
        <v>368</v>
      </c>
      <c r="R46" s="12" t="s">
        <v>369</v>
      </c>
      <c r="S46" s="12" t="s">
        <v>352</v>
      </c>
      <c r="T46" s="12" t="s">
        <v>361</v>
      </c>
      <c r="U46" s="14"/>
      <c r="V46" s="3"/>
    </row>
    <row r="47" customFormat="false" ht="15" hidden="false" customHeight="true" outlineLevel="0" collapsed="false">
      <c r="A47" s="12" t="s">
        <v>488</v>
      </c>
      <c r="B47" s="12" t="s">
        <v>151</v>
      </c>
      <c r="C47" s="12" t="s">
        <v>194</v>
      </c>
      <c r="D47" s="12" t="s">
        <v>373</v>
      </c>
      <c r="E47" s="12" t="s">
        <v>196</v>
      </c>
      <c r="F47" s="12" t="s">
        <v>187</v>
      </c>
      <c r="G47" s="12" t="s">
        <v>130</v>
      </c>
      <c r="H47" s="13" t="s">
        <v>129</v>
      </c>
      <c r="I47" s="13" t="s">
        <v>133</v>
      </c>
      <c r="J47" s="12" t="s">
        <v>359</v>
      </c>
      <c r="K47" s="12" t="s">
        <v>347</v>
      </c>
      <c r="L47" s="13" t="s">
        <v>188</v>
      </c>
      <c r="M47" s="12" t="s">
        <v>348</v>
      </c>
      <c r="N47" s="13" t="s">
        <v>349</v>
      </c>
      <c r="O47" s="13" t="s">
        <v>350</v>
      </c>
      <c r="P47" s="13" t="n">
        <v>0</v>
      </c>
      <c r="Q47" s="12" t="s">
        <v>368</v>
      </c>
      <c r="R47" s="12" t="s">
        <v>369</v>
      </c>
      <c r="S47" s="12" t="s">
        <v>352</v>
      </c>
      <c r="T47" s="12" t="s">
        <v>361</v>
      </c>
      <c r="U47" s="14"/>
      <c r="V47" s="3"/>
    </row>
    <row r="48" customFormat="false" ht="15" hidden="false" customHeight="true" outlineLevel="0" collapsed="false">
      <c r="A48" s="12" t="s">
        <v>489</v>
      </c>
      <c r="B48" s="12" t="s">
        <v>151</v>
      </c>
      <c r="C48" s="12" t="s">
        <v>201</v>
      </c>
      <c r="D48" s="12" t="s">
        <v>490</v>
      </c>
      <c r="E48" s="12" t="s">
        <v>203</v>
      </c>
      <c r="F48" s="12" t="s">
        <v>187</v>
      </c>
      <c r="G48" s="12" t="s">
        <v>130</v>
      </c>
      <c r="H48" s="13" t="s">
        <v>129</v>
      </c>
      <c r="I48" s="13" t="s">
        <v>133</v>
      </c>
      <c r="J48" s="12" t="s">
        <v>359</v>
      </c>
      <c r="K48" s="12" t="s">
        <v>347</v>
      </c>
      <c r="L48" s="13" t="s">
        <v>188</v>
      </c>
      <c r="M48" s="12" t="s">
        <v>348</v>
      </c>
      <c r="N48" s="13" t="s">
        <v>349</v>
      </c>
      <c r="O48" s="13" t="s">
        <v>350</v>
      </c>
      <c r="P48" s="13" t="n">
        <v>0</v>
      </c>
      <c r="Q48" s="12" t="s">
        <v>368</v>
      </c>
      <c r="R48" s="12" t="s">
        <v>369</v>
      </c>
      <c r="S48" s="12" t="s">
        <v>352</v>
      </c>
      <c r="T48" s="12" t="s">
        <v>361</v>
      </c>
      <c r="U48" s="14"/>
      <c r="V48" s="3"/>
    </row>
    <row r="49" customFormat="false" ht="15" hidden="false" customHeight="true" outlineLevel="0" collapsed="false">
      <c r="A49" s="12" t="s">
        <v>491</v>
      </c>
      <c r="B49" s="12" t="s">
        <v>151</v>
      </c>
      <c r="C49" s="12" t="s">
        <v>284</v>
      </c>
      <c r="D49" s="12" t="s">
        <v>492</v>
      </c>
      <c r="E49" s="12" t="s">
        <v>493</v>
      </c>
      <c r="F49" s="12" t="s">
        <v>279</v>
      </c>
      <c r="G49" s="12" t="s">
        <v>130</v>
      </c>
      <c r="H49" s="13" t="s">
        <v>163</v>
      </c>
      <c r="I49" s="13" t="s">
        <v>133</v>
      </c>
      <c r="J49" s="12" t="s">
        <v>164</v>
      </c>
      <c r="K49" s="12" t="s">
        <v>347</v>
      </c>
      <c r="L49" s="13" t="s">
        <v>131</v>
      </c>
      <c r="M49" s="12" t="s">
        <v>446</v>
      </c>
      <c r="N49" s="13" t="s">
        <v>388</v>
      </c>
      <c r="O49" s="13" t="s">
        <v>350</v>
      </c>
      <c r="P49" s="13" t="n">
        <v>3</v>
      </c>
      <c r="Q49" s="12" t="s">
        <v>368</v>
      </c>
      <c r="R49" s="12" t="s">
        <v>494</v>
      </c>
      <c r="S49" s="12" t="s">
        <v>352</v>
      </c>
      <c r="T49" s="12" t="s">
        <v>361</v>
      </c>
      <c r="U49" s="14"/>
      <c r="V49" s="15" t="s">
        <v>400</v>
      </c>
    </row>
    <row r="50" customFormat="false" ht="45" hidden="false" customHeight="true" outlineLevel="0" collapsed="false">
      <c r="A50" s="12" t="s">
        <v>495</v>
      </c>
      <c r="B50" s="12" t="s">
        <v>151</v>
      </c>
      <c r="C50" s="12" t="s">
        <v>288</v>
      </c>
      <c r="D50" s="12"/>
      <c r="E50" s="12" t="s">
        <v>496</v>
      </c>
      <c r="F50" s="12" t="s">
        <v>279</v>
      </c>
      <c r="G50" s="12" t="s">
        <v>130</v>
      </c>
      <c r="H50" s="13" t="s">
        <v>129</v>
      </c>
      <c r="I50" s="13" t="s">
        <v>133</v>
      </c>
      <c r="J50" s="12" t="s">
        <v>359</v>
      </c>
      <c r="K50" s="12"/>
      <c r="L50" s="13" t="s">
        <v>131</v>
      </c>
      <c r="M50" s="12" t="s">
        <v>453</v>
      </c>
      <c r="N50" s="13" t="s">
        <v>388</v>
      </c>
      <c r="O50" s="13" t="s">
        <v>350</v>
      </c>
      <c r="P50" s="13" t="n">
        <v>5</v>
      </c>
      <c r="Q50" s="12" t="s">
        <v>368</v>
      </c>
      <c r="R50" s="12" t="s">
        <v>494</v>
      </c>
      <c r="S50" s="12"/>
      <c r="T50" s="12"/>
      <c r="U50" s="14"/>
      <c r="V50" s="15" t="s">
        <v>454</v>
      </c>
    </row>
    <row r="51" customFormat="false" ht="15" hidden="false" customHeight="true" outlineLevel="0" collapsed="false">
      <c r="A51" s="12" t="s">
        <v>497</v>
      </c>
      <c r="B51" s="12" t="s">
        <v>151</v>
      </c>
      <c r="C51" s="12" t="s">
        <v>255</v>
      </c>
      <c r="D51" s="12" t="s">
        <v>498</v>
      </c>
      <c r="E51" s="12" t="s">
        <v>259</v>
      </c>
      <c r="F51" s="12" t="s">
        <v>257</v>
      </c>
      <c r="G51" s="12" t="s">
        <v>130</v>
      </c>
      <c r="H51" s="13" t="s">
        <v>129</v>
      </c>
      <c r="I51" s="13" t="s">
        <v>133</v>
      </c>
      <c r="J51" s="12" t="s">
        <v>164</v>
      </c>
      <c r="K51" s="12" t="s">
        <v>392</v>
      </c>
      <c r="L51" s="13" t="s">
        <v>234</v>
      </c>
      <c r="M51" s="12" t="s">
        <v>387</v>
      </c>
      <c r="N51" s="13" t="s">
        <v>388</v>
      </c>
      <c r="O51" s="13" t="s">
        <v>350</v>
      </c>
      <c r="P51" s="13" t="n">
        <v>20</v>
      </c>
      <c r="Q51" s="12" t="s">
        <v>368</v>
      </c>
      <c r="R51" s="12" t="s">
        <v>396</v>
      </c>
      <c r="S51" s="12" t="s">
        <v>352</v>
      </c>
      <c r="T51" s="12" t="s">
        <v>361</v>
      </c>
      <c r="U51" s="14"/>
      <c r="V51" s="15" t="s">
        <v>400</v>
      </c>
    </row>
    <row r="52" customFormat="false" ht="15" hidden="false" customHeight="true" outlineLevel="0" collapsed="false">
      <c r="A52" s="12" t="s">
        <v>499</v>
      </c>
      <c r="B52" s="12" t="s">
        <v>151</v>
      </c>
      <c r="C52" s="12" t="s">
        <v>264</v>
      </c>
      <c r="D52" s="12" t="s">
        <v>500</v>
      </c>
      <c r="E52" s="12" t="s">
        <v>266</v>
      </c>
      <c r="F52" s="12" t="s">
        <v>257</v>
      </c>
      <c r="G52" s="12" t="s">
        <v>130</v>
      </c>
      <c r="H52" s="13" t="s">
        <v>129</v>
      </c>
      <c r="I52" s="13" t="s">
        <v>133</v>
      </c>
      <c r="J52" s="12" t="s">
        <v>359</v>
      </c>
      <c r="K52" s="12" t="s">
        <v>392</v>
      </c>
      <c r="L52" s="13" t="s">
        <v>234</v>
      </c>
      <c r="M52" s="12" t="s">
        <v>399</v>
      </c>
      <c r="N52" s="13" t="s">
        <v>388</v>
      </c>
      <c r="O52" s="13" t="s">
        <v>350</v>
      </c>
      <c r="P52" s="13" t="n">
        <v>30</v>
      </c>
      <c r="Q52" s="12" t="s">
        <v>368</v>
      </c>
      <c r="R52" s="12" t="s">
        <v>396</v>
      </c>
      <c r="S52" s="12" t="s">
        <v>501</v>
      </c>
      <c r="T52" s="12"/>
      <c r="U52" s="14"/>
      <c r="V52" s="15" t="s">
        <v>502</v>
      </c>
    </row>
    <row r="53" customFormat="false" ht="15" hidden="false" customHeight="true" outlineLevel="0" collapsed="false">
      <c r="A53" s="12" t="s">
        <v>503</v>
      </c>
      <c r="B53" s="12" t="s">
        <v>151</v>
      </c>
      <c r="C53" s="12" t="s">
        <v>215</v>
      </c>
      <c r="D53" s="12" t="s">
        <v>504</v>
      </c>
      <c r="E53" s="12" t="s">
        <v>217</v>
      </c>
      <c r="F53" s="12" t="s">
        <v>212</v>
      </c>
      <c r="G53" s="12" t="s">
        <v>130</v>
      </c>
      <c r="H53" s="13" t="s">
        <v>129</v>
      </c>
      <c r="I53" s="13" t="s">
        <v>133</v>
      </c>
      <c r="J53" s="12" t="s">
        <v>359</v>
      </c>
      <c r="K53" s="12" t="s">
        <v>347</v>
      </c>
      <c r="L53" s="13" t="s">
        <v>131</v>
      </c>
      <c r="M53" s="12" t="s">
        <v>408</v>
      </c>
      <c r="N53" s="13" t="s">
        <v>388</v>
      </c>
      <c r="O53" s="13" t="s">
        <v>404</v>
      </c>
      <c r="P53" s="13" t="n">
        <v>5</v>
      </c>
      <c r="Q53" s="12" t="s">
        <v>368</v>
      </c>
      <c r="R53" s="12" t="s">
        <v>405</v>
      </c>
      <c r="S53" s="12" t="s">
        <v>352</v>
      </c>
      <c r="T53" s="12" t="s">
        <v>361</v>
      </c>
      <c r="U53" s="14"/>
      <c r="V53" s="3"/>
    </row>
    <row r="54" customFormat="false" ht="15" hidden="false" customHeight="true" outlineLevel="0" collapsed="false">
      <c r="A54" s="12" t="s">
        <v>505</v>
      </c>
      <c r="B54" s="12" t="s">
        <v>165</v>
      </c>
      <c r="C54" s="12" t="s">
        <v>126</v>
      </c>
      <c r="D54" s="12" t="s">
        <v>344</v>
      </c>
      <c r="E54" s="12" t="s">
        <v>506</v>
      </c>
      <c r="F54" s="12" t="s">
        <v>128</v>
      </c>
      <c r="G54" s="12" t="s">
        <v>130</v>
      </c>
      <c r="H54" s="13" t="s">
        <v>129</v>
      </c>
      <c r="I54" s="13" t="s">
        <v>133</v>
      </c>
      <c r="J54" s="12" t="s">
        <v>346</v>
      </c>
      <c r="K54" s="12" t="s">
        <v>347</v>
      </c>
      <c r="L54" s="13" t="s">
        <v>131</v>
      </c>
      <c r="M54" s="12" t="s">
        <v>348</v>
      </c>
      <c r="N54" s="13" t="s">
        <v>349</v>
      </c>
      <c r="O54" s="13" t="s">
        <v>350</v>
      </c>
      <c r="P54" s="13" t="n">
        <v>0</v>
      </c>
      <c r="Q54" s="12" t="s">
        <v>351</v>
      </c>
      <c r="R54" s="12"/>
      <c r="S54" s="12" t="s">
        <v>352</v>
      </c>
      <c r="T54" s="12" t="s">
        <v>507</v>
      </c>
      <c r="U54" s="14"/>
      <c r="V54" s="15" t="s">
        <v>508</v>
      </c>
    </row>
    <row r="55" customFormat="false" ht="15" hidden="false" customHeight="true" outlineLevel="0" collapsed="false">
      <c r="A55" s="12" t="s">
        <v>509</v>
      </c>
      <c r="B55" s="12" t="s">
        <v>165</v>
      </c>
      <c r="C55" s="12" t="s">
        <v>140</v>
      </c>
      <c r="D55" s="12" t="s">
        <v>355</v>
      </c>
      <c r="E55" s="12" t="s">
        <v>356</v>
      </c>
      <c r="F55" s="12" t="s">
        <v>128</v>
      </c>
      <c r="G55" s="12" t="s">
        <v>130</v>
      </c>
      <c r="H55" s="13" t="s">
        <v>129</v>
      </c>
      <c r="I55" s="13" t="s">
        <v>133</v>
      </c>
      <c r="J55" s="12" t="s">
        <v>346</v>
      </c>
      <c r="K55" s="12" t="s">
        <v>347</v>
      </c>
      <c r="L55" s="13" t="s">
        <v>131</v>
      </c>
      <c r="M55" s="12" t="s">
        <v>348</v>
      </c>
      <c r="N55" s="13" t="s">
        <v>349</v>
      </c>
      <c r="O55" s="13" t="s">
        <v>350</v>
      </c>
      <c r="P55" s="13" t="n">
        <v>0</v>
      </c>
      <c r="Q55" s="12" t="s">
        <v>351</v>
      </c>
      <c r="R55" s="12"/>
      <c r="S55" s="12" t="s">
        <v>352</v>
      </c>
      <c r="T55" s="12" t="s">
        <v>507</v>
      </c>
      <c r="U55" s="14"/>
      <c r="V55" s="3"/>
    </row>
    <row r="56" customFormat="false" ht="30" hidden="false" customHeight="true" outlineLevel="0" collapsed="false">
      <c r="A56" s="12" t="s">
        <v>510</v>
      </c>
      <c r="B56" s="12" t="s">
        <v>165</v>
      </c>
      <c r="C56" s="12" t="s">
        <v>126</v>
      </c>
      <c r="D56" s="12" t="s">
        <v>511</v>
      </c>
      <c r="E56" s="12" t="s">
        <v>512</v>
      </c>
      <c r="F56" s="12" t="s">
        <v>128</v>
      </c>
      <c r="G56" s="12" t="s">
        <v>130</v>
      </c>
      <c r="H56" s="13" t="s">
        <v>129</v>
      </c>
      <c r="I56" s="13" t="s">
        <v>133</v>
      </c>
      <c r="J56" s="12" t="s">
        <v>346</v>
      </c>
      <c r="K56" s="12" t="s">
        <v>347</v>
      </c>
      <c r="L56" s="13" t="s">
        <v>131</v>
      </c>
      <c r="M56" s="12" t="s">
        <v>348</v>
      </c>
      <c r="N56" s="13" t="s">
        <v>349</v>
      </c>
      <c r="O56" s="13" t="s">
        <v>350</v>
      </c>
      <c r="P56" s="13" t="n">
        <v>0</v>
      </c>
      <c r="Q56" s="12" t="s">
        <v>351</v>
      </c>
      <c r="R56" s="12"/>
      <c r="S56" s="12" t="s">
        <v>352</v>
      </c>
      <c r="T56" s="12" t="s">
        <v>507</v>
      </c>
      <c r="U56" s="14"/>
      <c r="V56" s="15" t="s">
        <v>513</v>
      </c>
    </row>
    <row r="57" customFormat="false" ht="15" hidden="false" customHeight="true" outlineLevel="0" collapsed="false">
      <c r="A57" s="12" t="s">
        <v>514</v>
      </c>
      <c r="B57" s="12" t="s">
        <v>165</v>
      </c>
      <c r="C57" s="12" t="s">
        <v>156</v>
      </c>
      <c r="D57" s="12" t="s">
        <v>157</v>
      </c>
      <c r="E57" s="12" t="s">
        <v>160</v>
      </c>
      <c r="F57" s="12" t="s">
        <v>128</v>
      </c>
      <c r="G57" s="12" t="s">
        <v>130</v>
      </c>
      <c r="H57" s="13" t="s">
        <v>129</v>
      </c>
      <c r="I57" s="13" t="s">
        <v>158</v>
      </c>
      <c r="J57" s="12" t="s">
        <v>346</v>
      </c>
      <c r="K57" s="12" t="s">
        <v>347</v>
      </c>
      <c r="L57" s="13" t="s">
        <v>131</v>
      </c>
      <c r="M57" s="12" t="s">
        <v>348</v>
      </c>
      <c r="N57" s="13" t="s">
        <v>349</v>
      </c>
      <c r="O57" s="13" t="s">
        <v>350</v>
      </c>
      <c r="P57" s="13" t="n">
        <v>0</v>
      </c>
      <c r="Q57" s="12" t="s">
        <v>351</v>
      </c>
      <c r="R57" s="12"/>
      <c r="S57" s="12" t="s">
        <v>352</v>
      </c>
      <c r="T57" s="12" t="s">
        <v>507</v>
      </c>
      <c r="U57" s="14"/>
      <c r="V57" s="3"/>
    </row>
    <row r="58" customFormat="false" ht="15" hidden="false" customHeight="true" outlineLevel="0" collapsed="false">
      <c r="A58" s="12" t="s">
        <v>515</v>
      </c>
      <c r="B58" s="12" t="s">
        <v>165</v>
      </c>
      <c r="C58" s="12" t="s">
        <v>185</v>
      </c>
      <c r="D58" s="12" t="s">
        <v>516</v>
      </c>
      <c r="E58" s="12" t="s">
        <v>190</v>
      </c>
      <c r="F58" s="12" t="s">
        <v>187</v>
      </c>
      <c r="G58" s="12" t="s">
        <v>130</v>
      </c>
      <c r="H58" s="13" t="s">
        <v>129</v>
      </c>
      <c r="I58" s="13" t="s">
        <v>133</v>
      </c>
      <c r="J58" s="12" t="s">
        <v>359</v>
      </c>
      <c r="K58" s="12" t="s">
        <v>347</v>
      </c>
      <c r="L58" s="13" t="s">
        <v>188</v>
      </c>
      <c r="M58" s="12" t="s">
        <v>348</v>
      </c>
      <c r="N58" s="13" t="s">
        <v>349</v>
      </c>
      <c r="O58" s="13" t="s">
        <v>350</v>
      </c>
      <c r="P58" s="13" t="n">
        <v>0</v>
      </c>
      <c r="Q58" s="12" t="s">
        <v>368</v>
      </c>
      <c r="R58" s="12" t="s">
        <v>369</v>
      </c>
      <c r="S58" s="12" t="s">
        <v>352</v>
      </c>
      <c r="T58" s="12" t="s">
        <v>361</v>
      </c>
      <c r="U58" s="14"/>
      <c r="V58" s="3"/>
    </row>
    <row r="59" customFormat="false" ht="15" hidden="false" customHeight="true" outlineLevel="0" collapsed="false">
      <c r="A59" s="12" t="s">
        <v>517</v>
      </c>
      <c r="B59" s="12" t="s">
        <v>165</v>
      </c>
      <c r="C59" s="12" t="s">
        <v>191</v>
      </c>
      <c r="D59" s="12" t="s">
        <v>518</v>
      </c>
      <c r="E59" s="12" t="s">
        <v>193</v>
      </c>
      <c r="F59" s="12" t="s">
        <v>187</v>
      </c>
      <c r="G59" s="12" t="s">
        <v>130</v>
      </c>
      <c r="H59" s="13" t="s">
        <v>129</v>
      </c>
      <c r="I59" s="13" t="s">
        <v>133</v>
      </c>
      <c r="J59" s="12" t="s">
        <v>359</v>
      </c>
      <c r="K59" s="12" t="s">
        <v>347</v>
      </c>
      <c r="L59" s="13" t="s">
        <v>188</v>
      </c>
      <c r="M59" s="12" t="s">
        <v>348</v>
      </c>
      <c r="N59" s="13" t="s">
        <v>349</v>
      </c>
      <c r="O59" s="13" t="s">
        <v>350</v>
      </c>
      <c r="P59" s="13" t="n">
        <v>0</v>
      </c>
      <c r="Q59" s="12" t="s">
        <v>368</v>
      </c>
      <c r="R59" s="12" t="s">
        <v>369</v>
      </c>
      <c r="S59" s="12" t="s">
        <v>352</v>
      </c>
      <c r="T59" s="12" t="s">
        <v>361</v>
      </c>
      <c r="U59" s="14"/>
      <c r="V59" s="15" t="s">
        <v>508</v>
      </c>
    </row>
    <row r="60" customFormat="false" ht="15" hidden="false" customHeight="true" outlineLevel="0" collapsed="false">
      <c r="A60" s="12" t="s">
        <v>519</v>
      </c>
      <c r="B60" s="12" t="s">
        <v>165</v>
      </c>
      <c r="C60" s="12" t="s">
        <v>194</v>
      </c>
      <c r="D60" s="12" t="s">
        <v>373</v>
      </c>
      <c r="E60" s="12" t="s">
        <v>196</v>
      </c>
      <c r="F60" s="12" t="s">
        <v>187</v>
      </c>
      <c r="G60" s="12" t="s">
        <v>130</v>
      </c>
      <c r="H60" s="13" t="s">
        <v>129</v>
      </c>
      <c r="I60" s="13" t="s">
        <v>133</v>
      </c>
      <c r="J60" s="12" t="s">
        <v>359</v>
      </c>
      <c r="K60" s="12" t="s">
        <v>347</v>
      </c>
      <c r="L60" s="13" t="s">
        <v>188</v>
      </c>
      <c r="M60" s="12" t="s">
        <v>348</v>
      </c>
      <c r="N60" s="13" t="s">
        <v>349</v>
      </c>
      <c r="O60" s="13" t="s">
        <v>350</v>
      </c>
      <c r="P60" s="13" t="n">
        <v>0</v>
      </c>
      <c r="Q60" s="12" t="s">
        <v>368</v>
      </c>
      <c r="R60" s="12" t="s">
        <v>369</v>
      </c>
      <c r="S60" s="12" t="s">
        <v>352</v>
      </c>
      <c r="T60" s="12" t="s">
        <v>361</v>
      </c>
      <c r="U60" s="14"/>
      <c r="V60" s="3"/>
    </row>
    <row r="61" customFormat="false" ht="15" hidden="false" customHeight="true" outlineLevel="0" collapsed="false">
      <c r="A61" s="12" t="s">
        <v>520</v>
      </c>
      <c r="B61" s="12" t="s">
        <v>165</v>
      </c>
      <c r="C61" s="12" t="s">
        <v>204</v>
      </c>
      <c r="D61" s="12" t="s">
        <v>379</v>
      </c>
      <c r="E61" s="12" t="s">
        <v>521</v>
      </c>
      <c r="F61" s="12" t="s">
        <v>187</v>
      </c>
      <c r="G61" s="12" t="s">
        <v>130</v>
      </c>
      <c r="H61" s="13" t="s">
        <v>129</v>
      </c>
      <c r="I61" s="13" t="s">
        <v>133</v>
      </c>
      <c r="J61" s="12" t="s">
        <v>359</v>
      </c>
      <c r="K61" s="12" t="s">
        <v>347</v>
      </c>
      <c r="L61" s="13" t="s">
        <v>188</v>
      </c>
      <c r="M61" s="12" t="s">
        <v>348</v>
      </c>
      <c r="N61" s="13" t="s">
        <v>349</v>
      </c>
      <c r="O61" s="13" t="s">
        <v>350</v>
      </c>
      <c r="P61" s="13" t="n">
        <v>0</v>
      </c>
      <c r="Q61" s="12" t="s">
        <v>368</v>
      </c>
      <c r="R61" s="12" t="s">
        <v>369</v>
      </c>
      <c r="S61" s="12" t="s">
        <v>352</v>
      </c>
      <c r="T61" s="12" t="s">
        <v>361</v>
      </c>
      <c r="U61" s="14"/>
      <c r="V61" s="3"/>
    </row>
    <row r="62" customFormat="false" ht="15" hidden="false" customHeight="true" outlineLevel="0" collapsed="false">
      <c r="A62" s="12" t="s">
        <v>522</v>
      </c>
      <c r="B62" s="12" t="s">
        <v>165</v>
      </c>
      <c r="C62" s="12" t="s">
        <v>207</v>
      </c>
      <c r="D62" s="12" t="s">
        <v>382</v>
      </c>
      <c r="E62" s="12" t="s">
        <v>383</v>
      </c>
      <c r="F62" s="12" t="s">
        <v>187</v>
      </c>
      <c r="G62" s="12" t="s">
        <v>130</v>
      </c>
      <c r="H62" s="13" t="s">
        <v>129</v>
      </c>
      <c r="I62" s="13" t="s">
        <v>133</v>
      </c>
      <c r="J62" s="12" t="s">
        <v>359</v>
      </c>
      <c r="K62" s="12" t="s">
        <v>347</v>
      </c>
      <c r="L62" s="13" t="s">
        <v>188</v>
      </c>
      <c r="M62" s="12" t="s">
        <v>348</v>
      </c>
      <c r="N62" s="13" t="s">
        <v>349</v>
      </c>
      <c r="O62" s="13" t="s">
        <v>350</v>
      </c>
      <c r="P62" s="13" t="n">
        <v>0</v>
      </c>
      <c r="Q62" s="12" t="s">
        <v>368</v>
      </c>
      <c r="R62" s="12" t="s">
        <v>369</v>
      </c>
      <c r="S62" s="12" t="s">
        <v>352</v>
      </c>
      <c r="T62" s="12" t="s">
        <v>361</v>
      </c>
      <c r="U62" s="14"/>
      <c r="V62" s="3"/>
    </row>
    <row r="63" customFormat="false" ht="15" hidden="false" customHeight="true" outlineLevel="0" collapsed="false">
      <c r="A63" s="12" t="s">
        <v>523</v>
      </c>
      <c r="B63" s="12" t="s">
        <v>165</v>
      </c>
      <c r="C63" s="12" t="s">
        <v>201</v>
      </c>
      <c r="D63" s="12" t="s">
        <v>377</v>
      </c>
      <c r="E63" s="12" t="s">
        <v>203</v>
      </c>
      <c r="F63" s="12" t="s">
        <v>187</v>
      </c>
      <c r="G63" s="12" t="s">
        <v>130</v>
      </c>
      <c r="H63" s="13" t="s">
        <v>129</v>
      </c>
      <c r="I63" s="13" t="s">
        <v>133</v>
      </c>
      <c r="J63" s="12" t="s">
        <v>359</v>
      </c>
      <c r="K63" s="12" t="s">
        <v>347</v>
      </c>
      <c r="L63" s="13" t="s">
        <v>188</v>
      </c>
      <c r="M63" s="12" t="s">
        <v>348</v>
      </c>
      <c r="N63" s="13" t="s">
        <v>349</v>
      </c>
      <c r="O63" s="13" t="s">
        <v>350</v>
      </c>
      <c r="P63" s="13" t="n">
        <v>0</v>
      </c>
      <c r="Q63" s="12" t="s">
        <v>368</v>
      </c>
      <c r="R63" s="12" t="s">
        <v>369</v>
      </c>
      <c r="S63" s="12" t="s">
        <v>352</v>
      </c>
      <c r="T63" s="12" t="s">
        <v>361</v>
      </c>
      <c r="U63" s="14"/>
      <c r="V63" s="3"/>
    </row>
    <row r="64" customFormat="false" ht="15" hidden="false" customHeight="true" outlineLevel="0" collapsed="false">
      <c r="A64" s="12" t="s">
        <v>524</v>
      </c>
      <c r="B64" s="12" t="s">
        <v>165</v>
      </c>
      <c r="C64" s="12" t="s">
        <v>197</v>
      </c>
      <c r="D64" s="12" t="s">
        <v>375</v>
      </c>
      <c r="E64" s="12" t="s">
        <v>200</v>
      </c>
      <c r="F64" s="12" t="s">
        <v>187</v>
      </c>
      <c r="G64" s="12" t="s">
        <v>130</v>
      </c>
      <c r="H64" s="13" t="s">
        <v>129</v>
      </c>
      <c r="I64" s="13" t="s">
        <v>133</v>
      </c>
      <c r="J64" s="12" t="s">
        <v>359</v>
      </c>
      <c r="K64" s="12" t="s">
        <v>347</v>
      </c>
      <c r="L64" s="13" t="s">
        <v>188</v>
      </c>
      <c r="M64" s="12" t="s">
        <v>348</v>
      </c>
      <c r="N64" s="13" t="s">
        <v>349</v>
      </c>
      <c r="O64" s="13" t="s">
        <v>350</v>
      </c>
      <c r="P64" s="13" t="n">
        <v>0</v>
      </c>
      <c r="Q64" s="12" t="s">
        <v>368</v>
      </c>
      <c r="R64" s="12" t="s">
        <v>369</v>
      </c>
      <c r="S64" s="12" t="s">
        <v>352</v>
      </c>
      <c r="T64" s="12" t="s">
        <v>361</v>
      </c>
      <c r="U64" s="14"/>
      <c r="V64" s="3"/>
    </row>
    <row r="65" customFormat="false" ht="15" hidden="false" customHeight="true" outlineLevel="0" collapsed="false">
      <c r="A65" s="12" t="s">
        <v>525</v>
      </c>
      <c r="B65" s="12" t="s">
        <v>165</v>
      </c>
      <c r="C65" s="12" t="s">
        <v>191</v>
      </c>
      <c r="D65" s="12" t="s">
        <v>526</v>
      </c>
      <c r="E65" s="12" t="s">
        <v>193</v>
      </c>
      <c r="F65" s="12" t="s">
        <v>187</v>
      </c>
      <c r="G65" s="12" t="s">
        <v>130</v>
      </c>
      <c r="H65" s="13" t="s">
        <v>129</v>
      </c>
      <c r="I65" s="13" t="s">
        <v>133</v>
      </c>
      <c r="J65" s="12" t="s">
        <v>359</v>
      </c>
      <c r="K65" s="12" t="s">
        <v>347</v>
      </c>
      <c r="L65" s="13" t="s">
        <v>188</v>
      </c>
      <c r="M65" s="12" t="s">
        <v>348</v>
      </c>
      <c r="N65" s="13" t="s">
        <v>349</v>
      </c>
      <c r="O65" s="13" t="s">
        <v>350</v>
      </c>
      <c r="P65" s="13" t="n">
        <v>0</v>
      </c>
      <c r="Q65" s="12" t="s">
        <v>368</v>
      </c>
      <c r="R65" s="12" t="s">
        <v>369</v>
      </c>
      <c r="S65" s="12" t="s">
        <v>352</v>
      </c>
      <c r="T65" s="12" t="s">
        <v>361</v>
      </c>
      <c r="U65" s="14"/>
      <c r="V65" s="15" t="s">
        <v>508</v>
      </c>
    </row>
    <row r="66" customFormat="false" ht="15" hidden="false" customHeight="true" outlineLevel="0" collapsed="false">
      <c r="A66" s="12" t="s">
        <v>527</v>
      </c>
      <c r="B66" s="12" t="s">
        <v>165</v>
      </c>
      <c r="C66" s="12" t="s">
        <v>210</v>
      </c>
      <c r="D66" s="12" t="s">
        <v>528</v>
      </c>
      <c r="E66" s="12" t="s">
        <v>214</v>
      </c>
      <c r="F66" s="12" t="s">
        <v>212</v>
      </c>
      <c r="G66" s="12" t="s">
        <v>130</v>
      </c>
      <c r="H66" s="13" t="s">
        <v>129</v>
      </c>
      <c r="I66" s="13" t="s">
        <v>133</v>
      </c>
      <c r="J66" s="12" t="s">
        <v>164</v>
      </c>
      <c r="K66" s="12" t="s">
        <v>347</v>
      </c>
      <c r="L66" s="13" t="s">
        <v>131</v>
      </c>
      <c r="M66" s="12" t="s">
        <v>403</v>
      </c>
      <c r="N66" s="13" t="s">
        <v>388</v>
      </c>
      <c r="O66" s="13" t="s">
        <v>404</v>
      </c>
      <c r="P66" s="13" t="n">
        <v>5</v>
      </c>
      <c r="Q66" s="12" t="s">
        <v>368</v>
      </c>
      <c r="R66" s="12" t="s">
        <v>405</v>
      </c>
      <c r="S66" s="12" t="s">
        <v>352</v>
      </c>
      <c r="T66" s="12" t="s">
        <v>361</v>
      </c>
      <c r="U66" s="14"/>
      <c r="V66" s="3"/>
    </row>
    <row r="67" customFormat="false" ht="15" hidden="false" customHeight="true" outlineLevel="0" collapsed="false">
      <c r="A67" s="12" t="s">
        <v>529</v>
      </c>
      <c r="B67" s="12" t="s">
        <v>165</v>
      </c>
      <c r="C67" s="12" t="s">
        <v>215</v>
      </c>
      <c r="D67" s="12" t="s">
        <v>407</v>
      </c>
      <c r="E67" s="12" t="s">
        <v>217</v>
      </c>
      <c r="F67" s="12" t="s">
        <v>212</v>
      </c>
      <c r="G67" s="12" t="s">
        <v>130</v>
      </c>
      <c r="H67" s="13" t="s">
        <v>129</v>
      </c>
      <c r="I67" s="13" t="s">
        <v>133</v>
      </c>
      <c r="J67" s="12" t="s">
        <v>359</v>
      </c>
      <c r="K67" s="12" t="s">
        <v>347</v>
      </c>
      <c r="L67" s="13" t="s">
        <v>131</v>
      </c>
      <c r="M67" s="12" t="s">
        <v>408</v>
      </c>
      <c r="N67" s="13" t="s">
        <v>388</v>
      </c>
      <c r="O67" s="13" t="s">
        <v>404</v>
      </c>
      <c r="P67" s="13" t="n">
        <v>5</v>
      </c>
      <c r="Q67" s="12" t="s">
        <v>368</v>
      </c>
      <c r="R67" s="12" t="s">
        <v>405</v>
      </c>
      <c r="S67" s="12" t="s">
        <v>352</v>
      </c>
      <c r="T67" s="12" t="s">
        <v>361</v>
      </c>
      <c r="U67" s="14"/>
      <c r="V67" s="3"/>
    </row>
    <row r="68" customFormat="false" ht="15" hidden="false" customHeight="true" outlineLevel="0" collapsed="false">
      <c r="A68" s="12" t="s">
        <v>530</v>
      </c>
      <c r="B68" s="12" t="s">
        <v>165</v>
      </c>
      <c r="C68" s="12" t="s">
        <v>218</v>
      </c>
      <c r="D68" s="12" t="s">
        <v>410</v>
      </c>
      <c r="E68" s="12" t="s">
        <v>221</v>
      </c>
      <c r="F68" s="12" t="s">
        <v>212</v>
      </c>
      <c r="G68" s="12" t="s">
        <v>130</v>
      </c>
      <c r="H68" s="13" t="s">
        <v>163</v>
      </c>
      <c r="I68" s="13" t="s">
        <v>133</v>
      </c>
      <c r="J68" s="12" t="s">
        <v>164</v>
      </c>
      <c r="K68" s="12" t="s">
        <v>347</v>
      </c>
      <c r="L68" s="13" t="s">
        <v>131</v>
      </c>
      <c r="M68" s="12" t="s">
        <v>411</v>
      </c>
      <c r="N68" s="13" t="s">
        <v>388</v>
      </c>
      <c r="O68" s="13" t="s">
        <v>350</v>
      </c>
      <c r="P68" s="13" t="n">
        <v>7</v>
      </c>
      <c r="Q68" s="12" t="s">
        <v>368</v>
      </c>
      <c r="R68" s="12" t="s">
        <v>405</v>
      </c>
      <c r="S68" s="12" t="s">
        <v>352</v>
      </c>
      <c r="T68" s="12" t="s">
        <v>361</v>
      </c>
      <c r="U68" s="14"/>
      <c r="V68" s="3"/>
    </row>
    <row r="69" customFormat="false" ht="15" hidden="false" customHeight="true" outlineLevel="0" collapsed="false">
      <c r="A69" s="12" t="s">
        <v>531</v>
      </c>
      <c r="B69" s="12" t="s">
        <v>165</v>
      </c>
      <c r="C69" s="12" t="s">
        <v>284</v>
      </c>
      <c r="D69" s="12" t="s">
        <v>532</v>
      </c>
      <c r="E69" s="12" t="s">
        <v>493</v>
      </c>
      <c r="F69" s="12" t="s">
        <v>279</v>
      </c>
      <c r="G69" s="12" t="s">
        <v>130</v>
      </c>
      <c r="H69" s="13" t="s">
        <v>163</v>
      </c>
      <c r="I69" s="13" t="s">
        <v>133</v>
      </c>
      <c r="J69" s="12" t="s">
        <v>164</v>
      </c>
      <c r="K69" s="12" t="s">
        <v>347</v>
      </c>
      <c r="L69" s="13" t="s">
        <v>131</v>
      </c>
      <c r="M69" s="12" t="s">
        <v>446</v>
      </c>
      <c r="N69" s="13" t="s">
        <v>388</v>
      </c>
      <c r="O69" s="13" t="s">
        <v>350</v>
      </c>
      <c r="P69" s="13" t="n">
        <v>3</v>
      </c>
      <c r="Q69" s="12" t="s">
        <v>368</v>
      </c>
      <c r="R69" s="12" t="s">
        <v>494</v>
      </c>
      <c r="S69" s="12" t="s">
        <v>352</v>
      </c>
      <c r="T69" s="12" t="s">
        <v>361</v>
      </c>
      <c r="U69" s="14"/>
      <c r="V69" s="3"/>
    </row>
    <row r="70" customFormat="false" ht="15" hidden="false" customHeight="true" outlineLevel="0" collapsed="false">
      <c r="A70" s="12" t="s">
        <v>533</v>
      </c>
      <c r="B70" s="12" t="s">
        <v>165</v>
      </c>
      <c r="C70" s="12" t="s">
        <v>277</v>
      </c>
      <c r="D70" s="12" t="s">
        <v>534</v>
      </c>
      <c r="E70" s="12" t="s">
        <v>535</v>
      </c>
      <c r="F70" s="12" t="s">
        <v>279</v>
      </c>
      <c r="G70" s="12" t="s">
        <v>130</v>
      </c>
      <c r="H70" s="13" t="s">
        <v>163</v>
      </c>
      <c r="I70" s="13" t="s">
        <v>133</v>
      </c>
      <c r="J70" s="12" t="s">
        <v>164</v>
      </c>
      <c r="K70" s="12" t="s">
        <v>347</v>
      </c>
      <c r="L70" s="13" t="s">
        <v>131</v>
      </c>
      <c r="M70" s="12" t="s">
        <v>446</v>
      </c>
      <c r="N70" s="13" t="s">
        <v>388</v>
      </c>
      <c r="O70" s="13" t="s">
        <v>350</v>
      </c>
      <c r="P70" s="13" t="n">
        <v>3</v>
      </c>
      <c r="Q70" s="12" t="s">
        <v>368</v>
      </c>
      <c r="R70" s="12" t="s">
        <v>536</v>
      </c>
      <c r="S70" s="12" t="s">
        <v>352</v>
      </c>
      <c r="T70" s="12" t="s">
        <v>361</v>
      </c>
      <c r="U70" s="14"/>
      <c r="V70" s="3"/>
    </row>
    <row r="71" customFormat="false" ht="15" hidden="false" customHeight="true" outlineLevel="0" collapsed="false">
      <c r="A71" s="12" t="s">
        <v>537</v>
      </c>
      <c r="B71" s="12" t="s">
        <v>165</v>
      </c>
      <c r="C71" s="12" t="s">
        <v>260</v>
      </c>
      <c r="D71" s="12" t="s">
        <v>538</v>
      </c>
      <c r="E71" s="12" t="s">
        <v>263</v>
      </c>
      <c r="F71" s="12" t="s">
        <v>257</v>
      </c>
      <c r="G71" s="12" t="s">
        <v>130</v>
      </c>
      <c r="H71" s="13" t="s">
        <v>129</v>
      </c>
      <c r="I71" s="13" t="s">
        <v>133</v>
      </c>
      <c r="J71" s="12" t="s">
        <v>164</v>
      </c>
      <c r="K71" s="12" t="s">
        <v>392</v>
      </c>
      <c r="L71" s="13" t="s">
        <v>234</v>
      </c>
      <c r="M71" s="12" t="s">
        <v>387</v>
      </c>
      <c r="N71" s="13" t="s">
        <v>388</v>
      </c>
      <c r="O71" s="13" t="s">
        <v>350</v>
      </c>
      <c r="P71" s="13" t="n">
        <v>20</v>
      </c>
      <c r="Q71" s="12" t="s">
        <v>368</v>
      </c>
      <c r="R71" s="12" t="s">
        <v>396</v>
      </c>
      <c r="S71" s="12" t="s">
        <v>352</v>
      </c>
      <c r="T71" s="12" t="s">
        <v>361</v>
      </c>
      <c r="U71" s="14"/>
      <c r="V71" s="3"/>
    </row>
    <row r="72" customFormat="false" ht="15" hidden="false" customHeight="true" outlineLevel="0" collapsed="false">
      <c r="A72" s="12" t="s">
        <v>539</v>
      </c>
      <c r="B72" s="12" t="s">
        <v>165</v>
      </c>
      <c r="C72" s="12" t="s">
        <v>264</v>
      </c>
      <c r="D72" s="12" t="s">
        <v>500</v>
      </c>
      <c r="E72" s="12" t="s">
        <v>266</v>
      </c>
      <c r="F72" s="12" t="s">
        <v>257</v>
      </c>
      <c r="G72" s="12" t="s">
        <v>130</v>
      </c>
      <c r="H72" s="13" t="s">
        <v>129</v>
      </c>
      <c r="I72" s="13" t="s">
        <v>133</v>
      </c>
      <c r="J72" s="12" t="s">
        <v>359</v>
      </c>
      <c r="K72" s="12" t="s">
        <v>392</v>
      </c>
      <c r="L72" s="13" t="s">
        <v>234</v>
      </c>
      <c r="M72" s="12" t="s">
        <v>399</v>
      </c>
      <c r="N72" s="13" t="s">
        <v>388</v>
      </c>
      <c r="O72" s="13" t="s">
        <v>350</v>
      </c>
      <c r="P72" s="13" t="n">
        <v>30</v>
      </c>
      <c r="Q72" s="12" t="s">
        <v>368</v>
      </c>
      <c r="R72" s="12" t="s">
        <v>396</v>
      </c>
      <c r="S72" s="12" t="s">
        <v>501</v>
      </c>
      <c r="T72" s="12"/>
      <c r="U72" s="14"/>
      <c r="V72" s="15" t="s">
        <v>502</v>
      </c>
    </row>
    <row r="73" customFormat="false" ht="30" hidden="false" customHeight="true" outlineLevel="0" collapsed="false">
      <c r="A73" s="12" t="s">
        <v>540</v>
      </c>
      <c r="B73" s="12" t="s">
        <v>165</v>
      </c>
      <c r="C73" s="12" t="s">
        <v>231</v>
      </c>
      <c r="D73" s="12" t="s">
        <v>385</v>
      </c>
      <c r="E73" s="12" t="s">
        <v>386</v>
      </c>
      <c r="F73" s="12" t="s">
        <v>233</v>
      </c>
      <c r="G73" s="12" t="s">
        <v>130</v>
      </c>
      <c r="H73" s="13" t="s">
        <v>129</v>
      </c>
      <c r="I73" s="13" t="s">
        <v>133</v>
      </c>
      <c r="J73" s="12" t="s">
        <v>164</v>
      </c>
      <c r="K73" s="12" t="s">
        <v>347</v>
      </c>
      <c r="L73" s="13" t="s">
        <v>234</v>
      </c>
      <c r="M73" s="12" t="s">
        <v>387</v>
      </c>
      <c r="N73" s="13" t="s">
        <v>388</v>
      </c>
      <c r="O73" s="13" t="s">
        <v>350</v>
      </c>
      <c r="P73" s="13" t="n">
        <v>20</v>
      </c>
      <c r="Q73" s="12" t="s">
        <v>368</v>
      </c>
      <c r="R73" s="12" t="s">
        <v>233</v>
      </c>
      <c r="S73" s="12" t="s">
        <v>352</v>
      </c>
      <c r="T73" s="12" t="s">
        <v>361</v>
      </c>
      <c r="U73" s="14"/>
      <c r="V73" s="15" t="s">
        <v>389</v>
      </c>
    </row>
    <row r="74" customFormat="false" ht="15" hidden="false" customHeight="true" outlineLevel="0" collapsed="false">
      <c r="A74" s="12" t="s">
        <v>541</v>
      </c>
      <c r="B74" s="12" t="s">
        <v>165</v>
      </c>
      <c r="C74" s="12" t="s">
        <v>236</v>
      </c>
      <c r="D74" s="12" t="s">
        <v>391</v>
      </c>
      <c r="E74" s="12" t="s">
        <v>238</v>
      </c>
      <c r="F74" s="12" t="s">
        <v>233</v>
      </c>
      <c r="G74" s="12" t="s">
        <v>130</v>
      </c>
      <c r="H74" s="13" t="s">
        <v>129</v>
      </c>
      <c r="I74" s="13" t="s">
        <v>133</v>
      </c>
      <c r="J74" s="12" t="s">
        <v>359</v>
      </c>
      <c r="K74" s="12" t="s">
        <v>392</v>
      </c>
      <c r="L74" s="13" t="s">
        <v>234</v>
      </c>
      <c r="M74" s="12" t="s">
        <v>422</v>
      </c>
      <c r="N74" s="13" t="s">
        <v>388</v>
      </c>
      <c r="O74" s="13" t="s">
        <v>350</v>
      </c>
      <c r="P74" s="13" t="n">
        <v>21</v>
      </c>
      <c r="Q74" s="12" t="s">
        <v>368</v>
      </c>
      <c r="R74" s="12" t="s">
        <v>233</v>
      </c>
      <c r="S74" s="12" t="s">
        <v>352</v>
      </c>
      <c r="T74" s="12" t="s">
        <v>361</v>
      </c>
      <c r="U74" s="14"/>
      <c r="V74" s="3"/>
    </row>
    <row r="75" customFormat="false" ht="15" hidden="false" customHeight="true" outlineLevel="0" collapsed="false">
      <c r="A75" s="12" t="s">
        <v>542</v>
      </c>
      <c r="B75" s="12" t="s">
        <v>165</v>
      </c>
      <c r="C75" s="12" t="s">
        <v>172</v>
      </c>
      <c r="D75" s="12" t="s">
        <v>363</v>
      </c>
      <c r="E75" s="12" t="s">
        <v>364</v>
      </c>
      <c r="F75" s="12" t="s">
        <v>174</v>
      </c>
      <c r="G75" s="12" t="s">
        <v>130</v>
      </c>
      <c r="H75" s="13" t="s">
        <v>129</v>
      </c>
      <c r="I75" s="13" t="s">
        <v>133</v>
      </c>
      <c r="J75" s="12" t="s">
        <v>359</v>
      </c>
      <c r="K75" s="12" t="s">
        <v>347</v>
      </c>
      <c r="L75" s="13" t="s">
        <v>131</v>
      </c>
      <c r="M75" s="12" t="s">
        <v>348</v>
      </c>
      <c r="N75" s="13" t="s">
        <v>349</v>
      </c>
      <c r="O75" s="13" t="s">
        <v>350</v>
      </c>
      <c r="P75" s="13" t="n">
        <v>0</v>
      </c>
      <c r="Q75" s="12" t="s">
        <v>360</v>
      </c>
      <c r="R75" s="12" t="s">
        <v>346</v>
      </c>
      <c r="S75" s="12" t="s">
        <v>352</v>
      </c>
      <c r="T75" s="12" t="s">
        <v>361</v>
      </c>
      <c r="U75" s="14"/>
      <c r="V75" s="15" t="s">
        <v>365</v>
      </c>
    </row>
    <row r="76" customFormat="false" ht="15" hidden="false" customHeight="true" outlineLevel="0" collapsed="false">
      <c r="A76" s="12" t="s">
        <v>543</v>
      </c>
      <c r="B76" s="12" t="s">
        <v>165</v>
      </c>
      <c r="C76" s="12" t="s">
        <v>182</v>
      </c>
      <c r="D76" s="12" t="s">
        <v>358</v>
      </c>
      <c r="E76" s="12" t="s">
        <v>184</v>
      </c>
      <c r="F76" s="12" t="s">
        <v>174</v>
      </c>
      <c r="G76" s="12" t="s">
        <v>130</v>
      </c>
      <c r="H76" s="13" t="s">
        <v>129</v>
      </c>
      <c r="I76" s="13" t="s">
        <v>133</v>
      </c>
      <c r="J76" s="12" t="s">
        <v>359</v>
      </c>
      <c r="K76" s="12" t="s">
        <v>347</v>
      </c>
      <c r="L76" s="13" t="s">
        <v>131</v>
      </c>
      <c r="M76" s="12" t="s">
        <v>348</v>
      </c>
      <c r="N76" s="13" t="s">
        <v>349</v>
      </c>
      <c r="O76" s="13" t="s">
        <v>350</v>
      </c>
      <c r="P76" s="13" t="n">
        <v>0</v>
      </c>
      <c r="Q76" s="12" t="s">
        <v>360</v>
      </c>
      <c r="R76" s="12" t="s">
        <v>346</v>
      </c>
      <c r="S76" s="12" t="s">
        <v>352</v>
      </c>
      <c r="T76" s="12" t="s">
        <v>361</v>
      </c>
      <c r="U76" s="14"/>
      <c r="V76" s="3"/>
    </row>
    <row r="77" customFormat="false" ht="15" hidden="false" customHeight="true" outlineLevel="0" collapsed="false">
      <c r="A77" s="12" t="s">
        <v>544</v>
      </c>
      <c r="B77" s="12" t="s">
        <v>165</v>
      </c>
      <c r="C77" s="12" t="s">
        <v>161</v>
      </c>
      <c r="D77" s="12" t="s">
        <v>545</v>
      </c>
      <c r="E77" s="12" t="s">
        <v>166</v>
      </c>
      <c r="F77" s="12" t="s">
        <v>128</v>
      </c>
      <c r="G77" s="12" t="s">
        <v>130</v>
      </c>
      <c r="H77" s="13" t="s">
        <v>163</v>
      </c>
      <c r="I77" s="13" t="s">
        <v>133</v>
      </c>
      <c r="J77" s="12" t="s">
        <v>164</v>
      </c>
      <c r="K77" s="12" t="s">
        <v>347</v>
      </c>
      <c r="L77" s="13" t="s">
        <v>131</v>
      </c>
      <c r="M77" s="12" t="s">
        <v>446</v>
      </c>
      <c r="N77" s="13" t="s">
        <v>388</v>
      </c>
      <c r="O77" s="13" t="s">
        <v>350</v>
      </c>
      <c r="P77" s="13" t="n">
        <v>3</v>
      </c>
      <c r="Q77" s="12" t="s">
        <v>368</v>
      </c>
      <c r="R77" s="12" t="s">
        <v>546</v>
      </c>
      <c r="S77" s="12" t="s">
        <v>352</v>
      </c>
      <c r="T77" s="12" t="s">
        <v>361</v>
      </c>
      <c r="U77" s="14"/>
      <c r="V77" s="3"/>
    </row>
    <row r="78" customFormat="false" ht="15" hidden="false" customHeight="true" outlineLevel="0" collapsed="false">
      <c r="A78" s="12" t="s">
        <v>547</v>
      </c>
      <c r="B78" s="12" t="s">
        <v>548</v>
      </c>
      <c r="C78" s="12" t="s">
        <v>144</v>
      </c>
      <c r="D78" s="12" t="s">
        <v>549</v>
      </c>
      <c r="E78" s="12" t="s">
        <v>550</v>
      </c>
      <c r="F78" s="12" t="s">
        <v>128</v>
      </c>
      <c r="G78" s="12" t="s">
        <v>130</v>
      </c>
      <c r="H78" s="13" t="s">
        <v>129</v>
      </c>
      <c r="I78" s="13" t="s">
        <v>133</v>
      </c>
      <c r="J78" s="12" t="s">
        <v>346</v>
      </c>
      <c r="K78" s="12" t="s">
        <v>347</v>
      </c>
      <c r="L78" s="13" t="s">
        <v>131</v>
      </c>
      <c r="M78" s="12" t="s">
        <v>348</v>
      </c>
      <c r="N78" s="13" t="s">
        <v>349</v>
      </c>
      <c r="O78" s="13" t="s">
        <v>350</v>
      </c>
      <c r="P78" s="13" t="n">
        <v>0</v>
      </c>
      <c r="Q78" s="12" t="s">
        <v>351</v>
      </c>
      <c r="R78" s="12"/>
      <c r="S78" s="12" t="s">
        <v>352</v>
      </c>
      <c r="T78" s="12" t="s">
        <v>551</v>
      </c>
      <c r="U78" s="14"/>
      <c r="V78" s="3"/>
    </row>
    <row r="79" customFormat="false" ht="15" hidden="false" customHeight="true" outlineLevel="0" collapsed="false">
      <c r="A79" s="12" t="s">
        <v>552</v>
      </c>
      <c r="B79" s="12" t="s">
        <v>548</v>
      </c>
      <c r="C79" s="12" t="s">
        <v>172</v>
      </c>
      <c r="D79" s="12" t="s">
        <v>363</v>
      </c>
      <c r="E79" s="12" t="s">
        <v>553</v>
      </c>
      <c r="F79" s="12" t="s">
        <v>174</v>
      </c>
      <c r="G79" s="12" t="s">
        <v>130</v>
      </c>
      <c r="H79" s="13" t="s">
        <v>129</v>
      </c>
      <c r="I79" s="13" t="s">
        <v>133</v>
      </c>
      <c r="J79" s="12" t="s">
        <v>359</v>
      </c>
      <c r="K79" s="12" t="s">
        <v>347</v>
      </c>
      <c r="L79" s="13" t="s">
        <v>131</v>
      </c>
      <c r="M79" s="12" t="s">
        <v>348</v>
      </c>
      <c r="N79" s="13" t="s">
        <v>349</v>
      </c>
      <c r="O79" s="13" t="s">
        <v>350</v>
      </c>
      <c r="P79" s="13" t="n">
        <v>0</v>
      </c>
      <c r="Q79" s="12" t="s">
        <v>360</v>
      </c>
      <c r="R79" s="12" t="s">
        <v>346</v>
      </c>
      <c r="S79" s="12" t="s">
        <v>352</v>
      </c>
      <c r="T79" s="12" t="s">
        <v>361</v>
      </c>
      <c r="U79" s="14"/>
      <c r="V79" s="3"/>
    </row>
    <row r="80" customFormat="false" ht="15" hidden="false" customHeight="true" outlineLevel="0" collapsed="false">
      <c r="A80" s="12" t="s">
        <v>554</v>
      </c>
      <c r="B80" s="12" t="s">
        <v>548</v>
      </c>
      <c r="C80" s="12" t="s">
        <v>182</v>
      </c>
      <c r="D80" s="12" t="s">
        <v>358</v>
      </c>
      <c r="E80" s="12" t="s">
        <v>184</v>
      </c>
      <c r="F80" s="12" t="s">
        <v>174</v>
      </c>
      <c r="G80" s="12" t="s">
        <v>130</v>
      </c>
      <c r="H80" s="13" t="s">
        <v>129</v>
      </c>
      <c r="I80" s="13" t="s">
        <v>133</v>
      </c>
      <c r="J80" s="12" t="s">
        <v>359</v>
      </c>
      <c r="K80" s="12" t="s">
        <v>347</v>
      </c>
      <c r="L80" s="13" t="s">
        <v>131</v>
      </c>
      <c r="M80" s="12" t="s">
        <v>348</v>
      </c>
      <c r="N80" s="13" t="s">
        <v>349</v>
      </c>
      <c r="O80" s="13" t="s">
        <v>350</v>
      </c>
      <c r="P80" s="13" t="n">
        <v>0</v>
      </c>
      <c r="Q80" s="12" t="s">
        <v>360</v>
      </c>
      <c r="R80" s="12" t="s">
        <v>346</v>
      </c>
      <c r="S80" s="12" t="s">
        <v>352</v>
      </c>
      <c r="T80" s="12" t="s">
        <v>361</v>
      </c>
      <c r="U80" s="14"/>
      <c r="V80" s="3"/>
    </row>
    <row r="81" customFormat="false" ht="15" hidden="false" customHeight="true" outlineLevel="0" collapsed="false">
      <c r="A81" s="12" t="s">
        <v>555</v>
      </c>
      <c r="B81" s="12" t="s">
        <v>548</v>
      </c>
      <c r="C81" s="12" t="s">
        <v>156</v>
      </c>
      <c r="D81" s="12" t="s">
        <v>157</v>
      </c>
      <c r="E81" s="12" t="s">
        <v>160</v>
      </c>
      <c r="F81" s="12" t="s">
        <v>128</v>
      </c>
      <c r="G81" s="12" t="s">
        <v>130</v>
      </c>
      <c r="H81" s="13" t="s">
        <v>129</v>
      </c>
      <c r="I81" s="13" t="s">
        <v>158</v>
      </c>
      <c r="J81" s="12" t="s">
        <v>346</v>
      </c>
      <c r="K81" s="12" t="s">
        <v>347</v>
      </c>
      <c r="L81" s="13" t="s">
        <v>131</v>
      </c>
      <c r="M81" s="12" t="s">
        <v>348</v>
      </c>
      <c r="N81" s="13" t="s">
        <v>349</v>
      </c>
      <c r="O81" s="13" t="s">
        <v>350</v>
      </c>
      <c r="P81" s="13" t="n">
        <v>0</v>
      </c>
      <c r="Q81" s="12" t="s">
        <v>351</v>
      </c>
      <c r="R81" s="12"/>
      <c r="S81" s="12" t="s">
        <v>352</v>
      </c>
      <c r="T81" s="12" t="s">
        <v>551</v>
      </c>
      <c r="U81" s="14"/>
      <c r="V81" s="3"/>
    </row>
    <row r="82" customFormat="false" ht="15" hidden="false" customHeight="true" outlineLevel="0" collapsed="false">
      <c r="A82" s="12" t="s">
        <v>556</v>
      </c>
      <c r="B82" s="12" t="s">
        <v>548</v>
      </c>
      <c r="C82" s="12" t="s">
        <v>185</v>
      </c>
      <c r="D82" s="12" t="s">
        <v>557</v>
      </c>
      <c r="E82" s="12" t="s">
        <v>190</v>
      </c>
      <c r="F82" s="12" t="s">
        <v>187</v>
      </c>
      <c r="G82" s="12" t="s">
        <v>130</v>
      </c>
      <c r="H82" s="13" t="s">
        <v>129</v>
      </c>
      <c r="I82" s="13" t="s">
        <v>133</v>
      </c>
      <c r="J82" s="12" t="s">
        <v>359</v>
      </c>
      <c r="K82" s="12" t="s">
        <v>347</v>
      </c>
      <c r="L82" s="13" t="s">
        <v>188</v>
      </c>
      <c r="M82" s="12" t="s">
        <v>348</v>
      </c>
      <c r="N82" s="13" t="s">
        <v>349</v>
      </c>
      <c r="O82" s="13" t="s">
        <v>350</v>
      </c>
      <c r="P82" s="13" t="n">
        <v>0</v>
      </c>
      <c r="Q82" s="12" t="s">
        <v>368</v>
      </c>
      <c r="R82" s="12" t="s">
        <v>369</v>
      </c>
      <c r="S82" s="12" t="s">
        <v>352</v>
      </c>
      <c r="T82" s="12" t="s">
        <v>361</v>
      </c>
      <c r="U82" s="14"/>
      <c r="V82" s="3"/>
    </row>
    <row r="83" customFormat="false" ht="15" hidden="false" customHeight="true" outlineLevel="0" collapsed="false">
      <c r="A83" s="12" t="s">
        <v>558</v>
      </c>
      <c r="B83" s="12" t="s">
        <v>548</v>
      </c>
      <c r="C83" s="12" t="s">
        <v>201</v>
      </c>
      <c r="D83" s="12" t="s">
        <v>377</v>
      </c>
      <c r="E83" s="12" t="s">
        <v>203</v>
      </c>
      <c r="F83" s="12" t="s">
        <v>187</v>
      </c>
      <c r="G83" s="12" t="s">
        <v>130</v>
      </c>
      <c r="H83" s="13" t="s">
        <v>129</v>
      </c>
      <c r="I83" s="13" t="s">
        <v>133</v>
      </c>
      <c r="J83" s="12" t="s">
        <v>359</v>
      </c>
      <c r="K83" s="12" t="s">
        <v>347</v>
      </c>
      <c r="L83" s="13" t="s">
        <v>188</v>
      </c>
      <c r="M83" s="12" t="s">
        <v>348</v>
      </c>
      <c r="N83" s="13" t="s">
        <v>349</v>
      </c>
      <c r="O83" s="13" t="s">
        <v>350</v>
      </c>
      <c r="P83" s="13" t="n">
        <v>0</v>
      </c>
      <c r="Q83" s="12" t="s">
        <v>368</v>
      </c>
      <c r="R83" s="12" t="s">
        <v>369</v>
      </c>
      <c r="S83" s="12" t="s">
        <v>352</v>
      </c>
      <c r="T83" s="12" t="s">
        <v>361</v>
      </c>
      <c r="U83" s="14"/>
      <c r="V83" s="3"/>
    </row>
    <row r="84" customFormat="false" ht="15" hidden="false" customHeight="true" outlineLevel="0" collapsed="false">
      <c r="A84" s="12" t="s">
        <v>559</v>
      </c>
      <c r="B84" s="12" t="s">
        <v>548</v>
      </c>
      <c r="C84" s="12" t="s">
        <v>191</v>
      </c>
      <c r="D84" s="12" t="s">
        <v>560</v>
      </c>
      <c r="E84" s="12" t="s">
        <v>193</v>
      </c>
      <c r="F84" s="12" t="s">
        <v>187</v>
      </c>
      <c r="G84" s="12" t="s">
        <v>130</v>
      </c>
      <c r="H84" s="13" t="s">
        <v>129</v>
      </c>
      <c r="I84" s="13" t="s">
        <v>133</v>
      </c>
      <c r="J84" s="12" t="s">
        <v>359</v>
      </c>
      <c r="K84" s="12" t="s">
        <v>347</v>
      </c>
      <c r="L84" s="13" t="s">
        <v>188</v>
      </c>
      <c r="M84" s="12" t="s">
        <v>348</v>
      </c>
      <c r="N84" s="13" t="s">
        <v>349</v>
      </c>
      <c r="O84" s="13" t="s">
        <v>350</v>
      </c>
      <c r="P84" s="13" t="n">
        <v>0</v>
      </c>
      <c r="Q84" s="12" t="s">
        <v>368</v>
      </c>
      <c r="R84" s="12" t="s">
        <v>369</v>
      </c>
      <c r="S84" s="12" t="s">
        <v>352</v>
      </c>
      <c r="T84" s="12" t="s">
        <v>361</v>
      </c>
      <c r="U84" s="14"/>
      <c r="V84" s="3"/>
    </row>
    <row r="85" customFormat="false" ht="15" hidden="false" customHeight="true" outlineLevel="0" collapsed="false">
      <c r="A85" s="12" t="s">
        <v>561</v>
      </c>
      <c r="B85" s="12" t="s">
        <v>548</v>
      </c>
      <c r="C85" s="12" t="s">
        <v>194</v>
      </c>
      <c r="D85" s="12" t="s">
        <v>562</v>
      </c>
      <c r="E85" s="12" t="s">
        <v>196</v>
      </c>
      <c r="F85" s="12" t="s">
        <v>187</v>
      </c>
      <c r="G85" s="12" t="s">
        <v>130</v>
      </c>
      <c r="H85" s="13" t="s">
        <v>129</v>
      </c>
      <c r="I85" s="13" t="s">
        <v>133</v>
      </c>
      <c r="J85" s="12" t="s">
        <v>359</v>
      </c>
      <c r="K85" s="12" t="s">
        <v>347</v>
      </c>
      <c r="L85" s="13" t="s">
        <v>188</v>
      </c>
      <c r="M85" s="12" t="s">
        <v>348</v>
      </c>
      <c r="N85" s="13" t="s">
        <v>349</v>
      </c>
      <c r="O85" s="13" t="s">
        <v>350</v>
      </c>
      <c r="P85" s="13" t="n">
        <v>0</v>
      </c>
      <c r="Q85" s="12" t="s">
        <v>368</v>
      </c>
      <c r="R85" s="12" t="s">
        <v>369</v>
      </c>
      <c r="S85" s="12" t="s">
        <v>352</v>
      </c>
      <c r="T85" s="12" t="s">
        <v>361</v>
      </c>
      <c r="U85" s="14"/>
      <c r="V85" s="3"/>
    </row>
    <row r="86" customFormat="false" ht="15" hidden="false" customHeight="true" outlineLevel="0" collapsed="false">
      <c r="A86" s="12" t="s">
        <v>563</v>
      </c>
      <c r="B86" s="12" t="s">
        <v>548</v>
      </c>
      <c r="C86" s="12" t="s">
        <v>207</v>
      </c>
      <c r="D86" s="12" t="s">
        <v>564</v>
      </c>
      <c r="E86" s="12" t="s">
        <v>383</v>
      </c>
      <c r="F86" s="12" t="s">
        <v>187</v>
      </c>
      <c r="G86" s="12" t="s">
        <v>130</v>
      </c>
      <c r="H86" s="13" t="s">
        <v>129</v>
      </c>
      <c r="I86" s="13" t="s">
        <v>133</v>
      </c>
      <c r="J86" s="12" t="s">
        <v>359</v>
      </c>
      <c r="K86" s="12" t="s">
        <v>347</v>
      </c>
      <c r="L86" s="13" t="s">
        <v>188</v>
      </c>
      <c r="M86" s="12" t="s">
        <v>348</v>
      </c>
      <c r="N86" s="13" t="s">
        <v>349</v>
      </c>
      <c r="O86" s="13" t="s">
        <v>350</v>
      </c>
      <c r="P86" s="13" t="n">
        <v>0</v>
      </c>
      <c r="Q86" s="12" t="s">
        <v>368</v>
      </c>
      <c r="R86" s="12" t="s">
        <v>369</v>
      </c>
      <c r="S86" s="12" t="s">
        <v>352</v>
      </c>
      <c r="T86" s="12" t="s">
        <v>565</v>
      </c>
      <c r="U86" s="14"/>
      <c r="V86" s="3"/>
    </row>
    <row r="87" customFormat="false" ht="15" hidden="false" customHeight="true" outlineLevel="0" collapsed="false">
      <c r="A87" s="12" t="s">
        <v>566</v>
      </c>
      <c r="B87" s="12" t="s">
        <v>548</v>
      </c>
      <c r="C87" s="12" t="s">
        <v>204</v>
      </c>
      <c r="D87" s="12" t="s">
        <v>567</v>
      </c>
      <c r="E87" s="12" t="s">
        <v>521</v>
      </c>
      <c r="F87" s="12" t="s">
        <v>187</v>
      </c>
      <c r="G87" s="12" t="s">
        <v>130</v>
      </c>
      <c r="H87" s="13" t="s">
        <v>129</v>
      </c>
      <c r="I87" s="13" t="s">
        <v>133</v>
      </c>
      <c r="J87" s="12" t="s">
        <v>359</v>
      </c>
      <c r="K87" s="12" t="s">
        <v>347</v>
      </c>
      <c r="L87" s="13" t="s">
        <v>188</v>
      </c>
      <c r="M87" s="12" t="s">
        <v>348</v>
      </c>
      <c r="N87" s="13" t="s">
        <v>349</v>
      </c>
      <c r="O87" s="13" t="s">
        <v>350</v>
      </c>
      <c r="P87" s="13" t="n">
        <v>0</v>
      </c>
      <c r="Q87" s="12" t="s">
        <v>368</v>
      </c>
      <c r="R87" s="12" t="s">
        <v>369</v>
      </c>
      <c r="S87" s="12" t="s">
        <v>352</v>
      </c>
      <c r="T87" s="12" t="s">
        <v>565</v>
      </c>
      <c r="U87" s="14"/>
      <c r="V87" s="3"/>
    </row>
    <row r="88" customFormat="false" ht="15" hidden="false" customHeight="true" outlineLevel="0" collapsed="false">
      <c r="A88" s="12" t="s">
        <v>568</v>
      </c>
      <c r="B88" s="12" t="s">
        <v>548</v>
      </c>
      <c r="C88" s="12" t="s">
        <v>197</v>
      </c>
      <c r="D88" s="12" t="s">
        <v>569</v>
      </c>
      <c r="E88" s="12" t="s">
        <v>200</v>
      </c>
      <c r="F88" s="12" t="s">
        <v>187</v>
      </c>
      <c r="G88" s="12" t="s">
        <v>130</v>
      </c>
      <c r="H88" s="13" t="s">
        <v>129</v>
      </c>
      <c r="I88" s="13" t="s">
        <v>133</v>
      </c>
      <c r="J88" s="12" t="s">
        <v>359</v>
      </c>
      <c r="K88" s="12" t="s">
        <v>347</v>
      </c>
      <c r="L88" s="13" t="s">
        <v>188</v>
      </c>
      <c r="M88" s="12" t="s">
        <v>348</v>
      </c>
      <c r="N88" s="13" t="s">
        <v>349</v>
      </c>
      <c r="O88" s="13" t="s">
        <v>350</v>
      </c>
      <c r="P88" s="13" t="n">
        <v>0</v>
      </c>
      <c r="Q88" s="12" t="s">
        <v>368</v>
      </c>
      <c r="R88" s="12" t="s">
        <v>369</v>
      </c>
      <c r="S88" s="12" t="s">
        <v>352</v>
      </c>
      <c r="T88" s="12" t="s">
        <v>565</v>
      </c>
      <c r="U88" s="14"/>
      <c r="V88" s="3"/>
    </row>
    <row r="89" customFormat="false" ht="15" hidden="false" customHeight="true" outlineLevel="0" collapsed="false">
      <c r="A89" s="12" t="s">
        <v>570</v>
      </c>
      <c r="B89" s="12" t="s">
        <v>269</v>
      </c>
      <c r="C89" s="12" t="s">
        <v>172</v>
      </c>
      <c r="D89" s="12" t="s">
        <v>363</v>
      </c>
      <c r="E89" s="12" t="s">
        <v>553</v>
      </c>
      <c r="F89" s="12" t="s">
        <v>174</v>
      </c>
      <c r="G89" s="12" t="s">
        <v>130</v>
      </c>
      <c r="H89" s="13" t="s">
        <v>129</v>
      </c>
      <c r="I89" s="13" t="s">
        <v>133</v>
      </c>
      <c r="J89" s="12" t="s">
        <v>359</v>
      </c>
      <c r="K89" s="12" t="s">
        <v>347</v>
      </c>
      <c r="L89" s="13" t="s">
        <v>131</v>
      </c>
      <c r="M89" s="12" t="s">
        <v>348</v>
      </c>
      <c r="N89" s="13" t="s">
        <v>349</v>
      </c>
      <c r="O89" s="13" t="s">
        <v>350</v>
      </c>
      <c r="P89" s="13" t="n">
        <v>0</v>
      </c>
      <c r="Q89" s="12" t="s">
        <v>360</v>
      </c>
      <c r="R89" s="12" t="s">
        <v>346</v>
      </c>
      <c r="S89" s="12" t="s">
        <v>352</v>
      </c>
      <c r="T89" s="12" t="s">
        <v>361</v>
      </c>
      <c r="U89" s="14"/>
      <c r="V89" s="3"/>
    </row>
    <row r="90" customFormat="false" ht="15" hidden="false" customHeight="true" outlineLevel="0" collapsed="false">
      <c r="A90" s="12" t="s">
        <v>571</v>
      </c>
      <c r="B90" s="12" t="s">
        <v>269</v>
      </c>
      <c r="C90" s="12" t="s">
        <v>182</v>
      </c>
      <c r="D90" s="12" t="s">
        <v>358</v>
      </c>
      <c r="E90" s="12" t="s">
        <v>184</v>
      </c>
      <c r="F90" s="12" t="s">
        <v>174</v>
      </c>
      <c r="G90" s="12" t="s">
        <v>130</v>
      </c>
      <c r="H90" s="13" t="s">
        <v>129</v>
      </c>
      <c r="I90" s="13" t="s">
        <v>133</v>
      </c>
      <c r="J90" s="12" t="s">
        <v>359</v>
      </c>
      <c r="K90" s="12" t="s">
        <v>347</v>
      </c>
      <c r="L90" s="13" t="s">
        <v>131</v>
      </c>
      <c r="M90" s="12" t="s">
        <v>348</v>
      </c>
      <c r="N90" s="13" t="s">
        <v>349</v>
      </c>
      <c r="O90" s="13" t="s">
        <v>350</v>
      </c>
      <c r="P90" s="13" t="n">
        <v>0</v>
      </c>
      <c r="Q90" s="12" t="s">
        <v>360</v>
      </c>
      <c r="R90" s="12" t="s">
        <v>346</v>
      </c>
      <c r="S90" s="12" t="s">
        <v>352</v>
      </c>
      <c r="T90" s="12" t="s">
        <v>361</v>
      </c>
      <c r="U90" s="14"/>
      <c r="V90" s="3"/>
    </row>
    <row r="91" customFormat="false" ht="15" hidden="false" customHeight="true" outlineLevel="0" collapsed="false">
      <c r="A91" s="12" t="s">
        <v>572</v>
      </c>
      <c r="B91" s="12" t="s">
        <v>269</v>
      </c>
      <c r="C91" s="12" t="s">
        <v>126</v>
      </c>
      <c r="D91" s="12" t="s">
        <v>573</v>
      </c>
      <c r="E91" s="12" t="s">
        <v>574</v>
      </c>
      <c r="F91" s="12" t="s">
        <v>128</v>
      </c>
      <c r="G91" s="12" t="s">
        <v>130</v>
      </c>
      <c r="H91" s="13" t="s">
        <v>129</v>
      </c>
      <c r="I91" s="13" t="s">
        <v>133</v>
      </c>
      <c r="J91" s="12" t="s">
        <v>346</v>
      </c>
      <c r="K91" s="12" t="s">
        <v>347</v>
      </c>
      <c r="L91" s="13" t="s">
        <v>131</v>
      </c>
      <c r="M91" s="12" t="s">
        <v>348</v>
      </c>
      <c r="N91" s="13" t="s">
        <v>349</v>
      </c>
      <c r="O91" s="13" t="s">
        <v>350</v>
      </c>
      <c r="P91" s="13" t="n">
        <v>0</v>
      </c>
      <c r="Q91" s="12" t="s">
        <v>351</v>
      </c>
      <c r="R91" s="12"/>
      <c r="S91" s="12" t="s">
        <v>352</v>
      </c>
      <c r="T91" s="12" t="s">
        <v>507</v>
      </c>
      <c r="U91" s="14"/>
      <c r="V91" s="3"/>
    </row>
    <row r="92" customFormat="false" ht="15" hidden="false" customHeight="true" outlineLevel="0" collapsed="false">
      <c r="A92" s="12" t="s">
        <v>575</v>
      </c>
      <c r="B92" s="12" t="s">
        <v>269</v>
      </c>
      <c r="C92" s="12" t="s">
        <v>144</v>
      </c>
      <c r="D92" s="12" t="s">
        <v>576</v>
      </c>
      <c r="E92" s="12" t="s">
        <v>577</v>
      </c>
      <c r="F92" s="12" t="s">
        <v>128</v>
      </c>
      <c r="G92" s="12" t="s">
        <v>130</v>
      </c>
      <c r="H92" s="13" t="s">
        <v>129</v>
      </c>
      <c r="I92" s="13" t="s">
        <v>133</v>
      </c>
      <c r="J92" s="12" t="s">
        <v>346</v>
      </c>
      <c r="K92" s="12" t="s">
        <v>347</v>
      </c>
      <c r="L92" s="13" t="s">
        <v>131</v>
      </c>
      <c r="M92" s="12" t="s">
        <v>348</v>
      </c>
      <c r="N92" s="13" t="s">
        <v>349</v>
      </c>
      <c r="O92" s="13" t="s">
        <v>350</v>
      </c>
      <c r="P92" s="13" t="n">
        <v>0</v>
      </c>
      <c r="Q92" s="12" t="s">
        <v>351</v>
      </c>
      <c r="R92" s="12"/>
      <c r="S92" s="12" t="s">
        <v>352</v>
      </c>
      <c r="T92" s="12" t="s">
        <v>507</v>
      </c>
      <c r="U92" s="14"/>
      <c r="V92" s="3"/>
    </row>
    <row r="93" customFormat="false" ht="15" hidden="false" customHeight="true" outlineLevel="0" collapsed="false">
      <c r="A93" s="12" t="s">
        <v>578</v>
      </c>
      <c r="B93" s="12" t="s">
        <v>269</v>
      </c>
      <c r="C93" s="12" t="s">
        <v>313</v>
      </c>
      <c r="D93" s="12" t="s">
        <v>456</v>
      </c>
      <c r="E93" s="12" t="s">
        <v>315</v>
      </c>
      <c r="F93" s="12" t="s">
        <v>249</v>
      </c>
      <c r="G93" s="12" t="s">
        <v>249</v>
      </c>
      <c r="H93" s="13" t="s">
        <v>163</v>
      </c>
      <c r="I93" s="13" t="s">
        <v>133</v>
      </c>
      <c r="J93" s="12" t="s">
        <v>164</v>
      </c>
      <c r="K93" s="12" t="s">
        <v>347</v>
      </c>
      <c r="L93" s="13" t="s">
        <v>250</v>
      </c>
      <c r="M93" s="12" t="s">
        <v>411</v>
      </c>
      <c r="N93" s="13" t="s">
        <v>388</v>
      </c>
      <c r="O93" s="13" t="s">
        <v>350</v>
      </c>
      <c r="P93" s="13" t="n">
        <v>7</v>
      </c>
      <c r="Q93" s="12" t="s">
        <v>368</v>
      </c>
      <c r="R93" s="12" t="s">
        <v>457</v>
      </c>
      <c r="S93" s="12" t="s">
        <v>579</v>
      </c>
      <c r="T93" s="12" t="s">
        <v>361</v>
      </c>
      <c r="U93" s="14"/>
      <c r="V93" s="3"/>
    </row>
    <row r="94" customFormat="false" ht="15" hidden="false" customHeight="true" outlineLevel="0" collapsed="false">
      <c r="A94" s="12" t="s">
        <v>580</v>
      </c>
      <c r="B94" s="12" t="s">
        <v>269</v>
      </c>
      <c r="C94" s="12" t="s">
        <v>319</v>
      </c>
      <c r="D94" s="12" t="s">
        <v>581</v>
      </c>
      <c r="E94" s="12" t="s">
        <v>477</v>
      </c>
      <c r="F94" s="12" t="s">
        <v>249</v>
      </c>
      <c r="G94" s="12" t="s">
        <v>249</v>
      </c>
      <c r="H94" s="13" t="s">
        <v>163</v>
      </c>
      <c r="I94" s="13" t="s">
        <v>133</v>
      </c>
      <c r="J94" s="12" t="s">
        <v>359</v>
      </c>
      <c r="K94" s="12" t="s">
        <v>347</v>
      </c>
      <c r="L94" s="13" t="s">
        <v>250</v>
      </c>
      <c r="M94" s="12" t="s">
        <v>443</v>
      </c>
      <c r="N94" s="13" t="s">
        <v>388</v>
      </c>
      <c r="O94" s="13" t="s">
        <v>404</v>
      </c>
      <c r="P94" s="13" t="n">
        <v>1</v>
      </c>
      <c r="Q94" s="12" t="s">
        <v>368</v>
      </c>
      <c r="R94" s="12" t="s">
        <v>346</v>
      </c>
      <c r="S94" s="12" t="s">
        <v>579</v>
      </c>
      <c r="T94" s="12" t="s">
        <v>361</v>
      </c>
      <c r="U94" s="14"/>
      <c r="V94" s="15" t="s">
        <v>427</v>
      </c>
    </row>
    <row r="95" customFormat="false" ht="30" hidden="false" customHeight="true" outlineLevel="0" collapsed="false">
      <c r="A95" s="12" t="s">
        <v>582</v>
      </c>
      <c r="B95" s="12" t="s">
        <v>269</v>
      </c>
      <c r="C95" s="12" t="s">
        <v>260</v>
      </c>
      <c r="D95" s="12" t="s">
        <v>583</v>
      </c>
      <c r="E95" s="12" t="s">
        <v>263</v>
      </c>
      <c r="F95" s="12" t="s">
        <v>257</v>
      </c>
      <c r="G95" s="12" t="s">
        <v>130</v>
      </c>
      <c r="H95" s="13" t="s">
        <v>129</v>
      </c>
      <c r="I95" s="13" t="s">
        <v>133</v>
      </c>
      <c r="J95" s="12" t="s">
        <v>164</v>
      </c>
      <c r="K95" s="12" t="s">
        <v>347</v>
      </c>
      <c r="L95" s="13" t="s">
        <v>234</v>
      </c>
      <c r="M95" s="12" t="s">
        <v>387</v>
      </c>
      <c r="N95" s="13" t="s">
        <v>388</v>
      </c>
      <c r="O95" s="13" t="s">
        <v>350</v>
      </c>
      <c r="P95" s="13" t="n">
        <v>20</v>
      </c>
      <c r="Q95" s="12" t="s">
        <v>368</v>
      </c>
      <c r="R95" s="12" t="s">
        <v>396</v>
      </c>
      <c r="S95" s="12" t="s">
        <v>579</v>
      </c>
      <c r="T95" s="12" t="s">
        <v>361</v>
      </c>
      <c r="U95" s="14"/>
      <c r="V95" s="15" t="s">
        <v>389</v>
      </c>
    </row>
    <row r="96" customFormat="false" ht="15" hidden="false" customHeight="true" outlineLevel="0" collapsed="false">
      <c r="A96" s="12" t="s">
        <v>584</v>
      </c>
      <c r="B96" s="12" t="s">
        <v>269</v>
      </c>
      <c r="C96" s="12" t="s">
        <v>231</v>
      </c>
      <c r="D96" s="12" t="s">
        <v>385</v>
      </c>
      <c r="E96" s="12" t="s">
        <v>386</v>
      </c>
      <c r="F96" s="12" t="s">
        <v>233</v>
      </c>
      <c r="G96" s="12" t="s">
        <v>130</v>
      </c>
      <c r="H96" s="13" t="s">
        <v>129</v>
      </c>
      <c r="I96" s="13" t="s">
        <v>133</v>
      </c>
      <c r="J96" s="12" t="s">
        <v>164</v>
      </c>
      <c r="K96" s="12" t="s">
        <v>392</v>
      </c>
      <c r="L96" s="13" t="s">
        <v>234</v>
      </c>
      <c r="M96" s="12" t="s">
        <v>387</v>
      </c>
      <c r="N96" s="13" t="s">
        <v>388</v>
      </c>
      <c r="O96" s="13" t="s">
        <v>350</v>
      </c>
      <c r="P96" s="13" t="n">
        <v>20</v>
      </c>
      <c r="Q96" s="12" t="s">
        <v>368</v>
      </c>
      <c r="R96" s="12" t="s">
        <v>233</v>
      </c>
      <c r="S96" s="12" t="s">
        <v>579</v>
      </c>
      <c r="T96" s="12" t="s">
        <v>361</v>
      </c>
      <c r="U96" s="14"/>
      <c r="V96" s="3"/>
    </row>
    <row r="97" customFormat="false" ht="15" hidden="false" customHeight="true" outlineLevel="0" collapsed="false">
      <c r="A97" s="12" t="s">
        <v>585</v>
      </c>
      <c r="B97" s="12" t="s">
        <v>269</v>
      </c>
      <c r="C97" s="12" t="s">
        <v>239</v>
      </c>
      <c r="D97" s="12" t="s">
        <v>469</v>
      </c>
      <c r="E97" s="12" t="s">
        <v>242</v>
      </c>
      <c r="F97" s="12" t="s">
        <v>233</v>
      </c>
      <c r="G97" s="12" t="s">
        <v>130</v>
      </c>
      <c r="H97" s="13" t="s">
        <v>163</v>
      </c>
      <c r="I97" s="13" t="s">
        <v>133</v>
      </c>
      <c r="J97" s="12" t="s">
        <v>164</v>
      </c>
      <c r="K97" s="12" t="s">
        <v>392</v>
      </c>
      <c r="L97" s="13" t="s">
        <v>234</v>
      </c>
      <c r="M97" s="12" t="s">
        <v>470</v>
      </c>
      <c r="N97" s="13" t="s">
        <v>388</v>
      </c>
      <c r="O97" s="13" t="s">
        <v>350</v>
      </c>
      <c r="P97" s="13" t="n">
        <v>25</v>
      </c>
      <c r="Q97" s="12" t="s">
        <v>368</v>
      </c>
      <c r="R97" s="12" t="s">
        <v>233</v>
      </c>
      <c r="S97" s="12" t="s">
        <v>579</v>
      </c>
      <c r="T97" s="12" t="s">
        <v>361</v>
      </c>
      <c r="U97" s="14"/>
      <c r="V97" s="3"/>
    </row>
    <row r="98" customFormat="false" ht="15" hidden="false" customHeight="true" outlineLevel="0" collapsed="false">
      <c r="A98" s="12" t="s">
        <v>586</v>
      </c>
      <c r="B98" s="12" t="s">
        <v>269</v>
      </c>
      <c r="C98" s="12" t="s">
        <v>316</v>
      </c>
      <c r="D98" s="12" t="s">
        <v>587</v>
      </c>
      <c r="E98" s="12" t="s">
        <v>318</v>
      </c>
      <c r="F98" s="12" t="s">
        <v>249</v>
      </c>
      <c r="G98" s="12" t="s">
        <v>249</v>
      </c>
      <c r="H98" s="13" t="s">
        <v>163</v>
      </c>
      <c r="I98" s="13" t="s">
        <v>133</v>
      </c>
      <c r="J98" s="12" t="s">
        <v>164</v>
      </c>
      <c r="K98" s="12" t="s">
        <v>347</v>
      </c>
      <c r="L98" s="13" t="s">
        <v>250</v>
      </c>
      <c r="M98" s="12" t="s">
        <v>411</v>
      </c>
      <c r="N98" s="13" t="s">
        <v>388</v>
      </c>
      <c r="O98" s="13" t="s">
        <v>350</v>
      </c>
      <c r="P98" s="13" t="n">
        <v>7</v>
      </c>
      <c r="Q98" s="12" t="s">
        <v>368</v>
      </c>
      <c r="R98" s="12" t="s">
        <v>457</v>
      </c>
      <c r="S98" s="12" t="s">
        <v>579</v>
      </c>
      <c r="T98" s="12" t="s">
        <v>361</v>
      </c>
      <c r="U98" s="14"/>
      <c r="V98" s="3"/>
    </row>
    <row r="99" customFormat="false" ht="15" hidden="false" customHeight="true" outlineLevel="0" collapsed="false">
      <c r="A99" s="12" t="s">
        <v>588</v>
      </c>
      <c r="B99" s="12" t="s">
        <v>269</v>
      </c>
      <c r="C99" s="12" t="s">
        <v>210</v>
      </c>
      <c r="D99" s="12" t="s">
        <v>480</v>
      </c>
      <c r="E99" s="12" t="s">
        <v>214</v>
      </c>
      <c r="F99" s="12" t="s">
        <v>212</v>
      </c>
      <c r="G99" s="12" t="s">
        <v>130</v>
      </c>
      <c r="H99" s="13" t="s">
        <v>129</v>
      </c>
      <c r="I99" s="13" t="s">
        <v>133</v>
      </c>
      <c r="J99" s="12" t="s">
        <v>164</v>
      </c>
      <c r="K99" s="12" t="s">
        <v>347</v>
      </c>
      <c r="L99" s="13" t="s">
        <v>131</v>
      </c>
      <c r="M99" s="12" t="s">
        <v>403</v>
      </c>
      <c r="N99" s="13" t="s">
        <v>388</v>
      </c>
      <c r="O99" s="13" t="s">
        <v>404</v>
      </c>
      <c r="P99" s="13" t="n">
        <v>5</v>
      </c>
      <c r="Q99" s="12" t="s">
        <v>368</v>
      </c>
      <c r="R99" s="12" t="s">
        <v>405</v>
      </c>
      <c r="S99" s="12" t="s">
        <v>352</v>
      </c>
      <c r="T99" s="12" t="s">
        <v>361</v>
      </c>
      <c r="U99" s="14"/>
      <c r="V99" s="3"/>
    </row>
    <row r="100" customFormat="false" ht="15" hidden="false" customHeight="true" outlineLevel="0" collapsed="false">
      <c r="A100" s="12" t="s">
        <v>589</v>
      </c>
      <c r="B100" s="12" t="s">
        <v>269</v>
      </c>
      <c r="C100" s="12" t="s">
        <v>215</v>
      </c>
      <c r="D100" s="12" t="s">
        <v>590</v>
      </c>
      <c r="E100" s="12" t="s">
        <v>217</v>
      </c>
      <c r="F100" s="12" t="s">
        <v>212</v>
      </c>
      <c r="G100" s="12" t="s">
        <v>130</v>
      </c>
      <c r="H100" s="13" t="s">
        <v>129</v>
      </c>
      <c r="I100" s="13" t="s">
        <v>133</v>
      </c>
      <c r="J100" s="12" t="s">
        <v>359</v>
      </c>
      <c r="K100" s="12" t="s">
        <v>347</v>
      </c>
      <c r="L100" s="13" t="s">
        <v>131</v>
      </c>
      <c r="M100" s="12" t="s">
        <v>408</v>
      </c>
      <c r="N100" s="13" t="s">
        <v>388</v>
      </c>
      <c r="O100" s="13" t="s">
        <v>404</v>
      </c>
      <c r="P100" s="13" t="n">
        <v>5</v>
      </c>
      <c r="Q100" s="12" t="s">
        <v>368</v>
      </c>
      <c r="R100" s="12" t="s">
        <v>405</v>
      </c>
      <c r="S100" s="12" t="s">
        <v>352</v>
      </c>
      <c r="T100" s="12" t="s">
        <v>361</v>
      </c>
      <c r="U100" s="14"/>
      <c r="V100" s="3"/>
    </row>
    <row r="101" customFormat="false" ht="15" hidden="false" customHeight="true" outlineLevel="0" collapsed="false">
      <c r="A101" s="12" t="s">
        <v>591</v>
      </c>
      <c r="B101" s="12" t="s">
        <v>269</v>
      </c>
      <c r="C101" s="12" t="s">
        <v>218</v>
      </c>
      <c r="D101" s="12" t="s">
        <v>592</v>
      </c>
      <c r="E101" s="12" t="s">
        <v>221</v>
      </c>
      <c r="F101" s="12" t="s">
        <v>212</v>
      </c>
      <c r="G101" s="12" t="s">
        <v>130</v>
      </c>
      <c r="H101" s="13" t="s">
        <v>163</v>
      </c>
      <c r="I101" s="13" t="s">
        <v>133</v>
      </c>
      <c r="J101" s="12" t="s">
        <v>164</v>
      </c>
      <c r="K101" s="12" t="s">
        <v>347</v>
      </c>
      <c r="L101" s="13" t="s">
        <v>131</v>
      </c>
      <c r="M101" s="12" t="s">
        <v>411</v>
      </c>
      <c r="N101" s="13" t="s">
        <v>388</v>
      </c>
      <c r="O101" s="13" t="s">
        <v>350</v>
      </c>
      <c r="P101" s="13" t="n">
        <v>7</v>
      </c>
      <c r="Q101" s="12" t="s">
        <v>368</v>
      </c>
      <c r="R101" s="12" t="s">
        <v>405</v>
      </c>
      <c r="S101" s="12" t="s">
        <v>352</v>
      </c>
      <c r="T101" s="12" t="s">
        <v>361</v>
      </c>
      <c r="U101" s="14"/>
      <c r="V101" s="3"/>
    </row>
    <row r="102" customFormat="false" ht="15" hidden="false" customHeight="true" outlineLevel="0" collapsed="false">
      <c r="A102" s="12" t="s">
        <v>593</v>
      </c>
      <c r="B102" s="12" t="s">
        <v>269</v>
      </c>
      <c r="C102" s="12" t="s">
        <v>284</v>
      </c>
      <c r="D102" s="12" t="s">
        <v>594</v>
      </c>
      <c r="E102" s="12" t="s">
        <v>493</v>
      </c>
      <c r="F102" s="12" t="s">
        <v>279</v>
      </c>
      <c r="G102" s="12" t="s">
        <v>130</v>
      </c>
      <c r="H102" s="13" t="s">
        <v>163</v>
      </c>
      <c r="I102" s="13" t="s">
        <v>133</v>
      </c>
      <c r="J102" s="12" t="s">
        <v>164</v>
      </c>
      <c r="K102" s="12" t="s">
        <v>347</v>
      </c>
      <c r="L102" s="13" t="s">
        <v>131</v>
      </c>
      <c r="M102" s="12" t="s">
        <v>446</v>
      </c>
      <c r="N102" s="13" t="s">
        <v>388</v>
      </c>
      <c r="O102" s="13" t="s">
        <v>350</v>
      </c>
      <c r="P102" s="13" t="n">
        <v>3</v>
      </c>
      <c r="Q102" s="12" t="s">
        <v>368</v>
      </c>
      <c r="R102" s="12" t="s">
        <v>494</v>
      </c>
      <c r="S102" s="12" t="s">
        <v>352</v>
      </c>
      <c r="T102" s="12" t="s">
        <v>361</v>
      </c>
      <c r="U102" s="14"/>
      <c r="V102" s="3"/>
    </row>
    <row r="103" customFormat="false" ht="15" hidden="false" customHeight="true" outlineLevel="0" collapsed="false">
      <c r="A103" s="12" t="s">
        <v>595</v>
      </c>
      <c r="B103" s="12" t="s">
        <v>269</v>
      </c>
      <c r="C103" s="12" t="s">
        <v>288</v>
      </c>
      <c r="D103" s="12" t="s">
        <v>596</v>
      </c>
      <c r="E103" s="12" t="s">
        <v>597</v>
      </c>
      <c r="F103" s="12" t="s">
        <v>279</v>
      </c>
      <c r="G103" s="12" t="s">
        <v>130</v>
      </c>
      <c r="H103" s="13" t="s">
        <v>129</v>
      </c>
      <c r="I103" s="13" t="s">
        <v>133</v>
      </c>
      <c r="J103" s="12" t="s">
        <v>359</v>
      </c>
      <c r="K103" s="12" t="s">
        <v>347</v>
      </c>
      <c r="L103" s="13" t="s">
        <v>131</v>
      </c>
      <c r="M103" s="12" t="s">
        <v>443</v>
      </c>
      <c r="N103" s="13" t="s">
        <v>388</v>
      </c>
      <c r="O103" s="13" t="s">
        <v>404</v>
      </c>
      <c r="P103" s="13" t="n">
        <v>1</v>
      </c>
      <c r="Q103" s="12" t="s">
        <v>368</v>
      </c>
      <c r="R103" s="12" t="s">
        <v>494</v>
      </c>
      <c r="S103" s="12" t="s">
        <v>352</v>
      </c>
      <c r="T103" s="12" t="s">
        <v>361</v>
      </c>
      <c r="U103" s="14"/>
      <c r="V103" s="3"/>
    </row>
    <row r="104" customFormat="false" ht="15" hidden="false" customHeight="true" outlineLevel="0" collapsed="false">
      <c r="A104" s="12" t="s">
        <v>598</v>
      </c>
      <c r="B104" s="12" t="s">
        <v>269</v>
      </c>
      <c r="C104" s="12" t="s">
        <v>291</v>
      </c>
      <c r="D104" s="12" t="s">
        <v>599</v>
      </c>
      <c r="E104" s="12" t="s">
        <v>293</v>
      </c>
      <c r="F104" s="12" t="s">
        <v>279</v>
      </c>
      <c r="G104" s="12" t="s">
        <v>130</v>
      </c>
      <c r="H104" s="13" t="s">
        <v>163</v>
      </c>
      <c r="I104" s="13" t="s">
        <v>133</v>
      </c>
      <c r="J104" s="12" t="s">
        <v>164</v>
      </c>
      <c r="K104" s="12" t="s">
        <v>347</v>
      </c>
      <c r="L104" s="13" t="s">
        <v>131</v>
      </c>
      <c r="M104" s="12" t="s">
        <v>446</v>
      </c>
      <c r="N104" s="13" t="s">
        <v>388</v>
      </c>
      <c r="O104" s="13" t="s">
        <v>350</v>
      </c>
      <c r="P104" s="13" t="n">
        <v>3</v>
      </c>
      <c r="Q104" s="12" t="s">
        <v>368</v>
      </c>
      <c r="R104" s="12" t="s">
        <v>447</v>
      </c>
      <c r="S104" s="12" t="s">
        <v>352</v>
      </c>
      <c r="T104" s="12" t="s">
        <v>361</v>
      </c>
      <c r="U104" s="14"/>
      <c r="V104" s="3"/>
    </row>
    <row r="105" customFormat="false" ht="15" hidden="false" customHeight="true" outlineLevel="0" collapsed="false">
      <c r="A105" s="12" t="s">
        <v>600</v>
      </c>
      <c r="B105" s="12" t="s">
        <v>269</v>
      </c>
      <c r="C105" s="12" t="s">
        <v>294</v>
      </c>
      <c r="D105" s="12" t="s">
        <v>601</v>
      </c>
      <c r="E105" s="12" t="s">
        <v>602</v>
      </c>
      <c r="F105" s="12" t="s">
        <v>279</v>
      </c>
      <c r="G105" s="12" t="s">
        <v>130</v>
      </c>
      <c r="H105" s="13" t="s">
        <v>129</v>
      </c>
      <c r="I105" s="13" t="s">
        <v>133</v>
      </c>
      <c r="J105" s="12" t="s">
        <v>359</v>
      </c>
      <c r="K105" s="12" t="s">
        <v>347</v>
      </c>
      <c r="L105" s="13" t="s">
        <v>131</v>
      </c>
      <c r="M105" s="12" t="s">
        <v>443</v>
      </c>
      <c r="N105" s="13" t="s">
        <v>388</v>
      </c>
      <c r="O105" s="13" t="s">
        <v>404</v>
      </c>
      <c r="P105" s="13" t="n">
        <v>1</v>
      </c>
      <c r="Q105" s="12" t="s">
        <v>368</v>
      </c>
      <c r="R105" s="12" t="s">
        <v>447</v>
      </c>
      <c r="S105" s="12" t="s">
        <v>352</v>
      </c>
      <c r="T105" s="12" t="s">
        <v>361</v>
      </c>
      <c r="U105" s="14"/>
      <c r="V105" s="3"/>
    </row>
    <row r="106" customFormat="false" ht="15" hidden="false" customHeight="true" outlineLevel="0" collapsed="false">
      <c r="A106" s="12" t="s">
        <v>603</v>
      </c>
      <c r="B106" s="12" t="s">
        <v>269</v>
      </c>
      <c r="C106" s="12" t="s">
        <v>277</v>
      </c>
      <c r="D106" s="12" t="s">
        <v>604</v>
      </c>
      <c r="E106" s="12" t="s">
        <v>535</v>
      </c>
      <c r="F106" s="12" t="s">
        <v>279</v>
      </c>
      <c r="G106" s="12" t="s">
        <v>130</v>
      </c>
      <c r="H106" s="13" t="s">
        <v>163</v>
      </c>
      <c r="I106" s="13" t="s">
        <v>133</v>
      </c>
      <c r="J106" s="12" t="s">
        <v>164</v>
      </c>
      <c r="K106" s="12" t="s">
        <v>347</v>
      </c>
      <c r="L106" s="13" t="s">
        <v>131</v>
      </c>
      <c r="M106" s="12" t="s">
        <v>446</v>
      </c>
      <c r="N106" s="13" t="s">
        <v>388</v>
      </c>
      <c r="O106" s="13" t="s">
        <v>350</v>
      </c>
      <c r="P106" s="13" t="n">
        <v>3</v>
      </c>
      <c r="Q106" s="12" t="s">
        <v>368</v>
      </c>
      <c r="R106" s="12" t="s">
        <v>536</v>
      </c>
      <c r="S106" s="12" t="s">
        <v>352</v>
      </c>
      <c r="T106" s="12" t="s">
        <v>361</v>
      </c>
      <c r="U106" s="14"/>
      <c r="V106" s="3"/>
    </row>
    <row r="107" customFormat="false" ht="15" hidden="false" customHeight="true" outlineLevel="0" collapsed="false">
      <c r="A107" s="12" t="s">
        <v>605</v>
      </c>
      <c r="B107" s="12" t="s">
        <v>269</v>
      </c>
      <c r="C107" s="12" t="s">
        <v>281</v>
      </c>
      <c r="D107" s="12" t="s">
        <v>606</v>
      </c>
      <c r="E107" s="12" t="s">
        <v>283</v>
      </c>
      <c r="F107" s="12" t="s">
        <v>279</v>
      </c>
      <c r="G107" s="12" t="s">
        <v>130</v>
      </c>
      <c r="H107" s="13" t="s">
        <v>129</v>
      </c>
      <c r="I107" s="13" t="s">
        <v>133</v>
      </c>
      <c r="J107" s="12" t="s">
        <v>359</v>
      </c>
      <c r="K107" s="12" t="s">
        <v>347</v>
      </c>
      <c r="L107" s="13" t="s">
        <v>131</v>
      </c>
      <c r="M107" s="12" t="s">
        <v>443</v>
      </c>
      <c r="N107" s="13" t="s">
        <v>388</v>
      </c>
      <c r="O107" s="13" t="s">
        <v>404</v>
      </c>
      <c r="P107" s="13" t="n">
        <v>1</v>
      </c>
      <c r="Q107" s="12" t="s">
        <v>368</v>
      </c>
      <c r="R107" s="12" t="s">
        <v>536</v>
      </c>
      <c r="S107" s="12" t="s">
        <v>352</v>
      </c>
      <c r="T107" s="12" t="s">
        <v>361</v>
      </c>
      <c r="U107" s="14"/>
      <c r="V107" s="3"/>
    </row>
    <row r="108" customFormat="false" ht="15" hidden="false" customHeight="true" outlineLevel="0" collapsed="false">
      <c r="A108" s="12" t="s">
        <v>607</v>
      </c>
      <c r="B108" s="12" t="s">
        <v>269</v>
      </c>
      <c r="C108" s="12" t="s">
        <v>255</v>
      </c>
      <c r="D108" s="12" t="s">
        <v>608</v>
      </c>
      <c r="E108" s="12" t="s">
        <v>259</v>
      </c>
      <c r="F108" s="12" t="s">
        <v>257</v>
      </c>
      <c r="G108" s="12" t="s">
        <v>130</v>
      </c>
      <c r="H108" s="13" t="s">
        <v>129</v>
      </c>
      <c r="I108" s="13" t="s">
        <v>133</v>
      </c>
      <c r="J108" s="12" t="s">
        <v>164</v>
      </c>
      <c r="K108" s="12" t="s">
        <v>392</v>
      </c>
      <c r="L108" s="13" t="s">
        <v>234</v>
      </c>
      <c r="M108" s="12" t="s">
        <v>387</v>
      </c>
      <c r="N108" s="13" t="s">
        <v>388</v>
      </c>
      <c r="O108" s="13" t="s">
        <v>350</v>
      </c>
      <c r="P108" s="13" t="n">
        <v>20</v>
      </c>
      <c r="Q108" s="12" t="s">
        <v>368</v>
      </c>
      <c r="R108" s="12" t="s">
        <v>396</v>
      </c>
      <c r="S108" s="12" t="s">
        <v>352</v>
      </c>
      <c r="T108" s="12" t="s">
        <v>361</v>
      </c>
      <c r="U108" s="14"/>
      <c r="V108" s="3"/>
    </row>
    <row r="109" customFormat="false" ht="15" hidden="false" customHeight="true" outlineLevel="0" collapsed="false">
      <c r="A109" s="12" t="s">
        <v>609</v>
      </c>
      <c r="B109" s="12" t="s">
        <v>269</v>
      </c>
      <c r="C109" s="12" t="s">
        <v>264</v>
      </c>
      <c r="D109" s="12" t="s">
        <v>610</v>
      </c>
      <c r="E109" s="12" t="s">
        <v>266</v>
      </c>
      <c r="F109" s="12" t="s">
        <v>257</v>
      </c>
      <c r="G109" s="12" t="s">
        <v>130</v>
      </c>
      <c r="H109" s="13" t="s">
        <v>129</v>
      </c>
      <c r="I109" s="13" t="s">
        <v>133</v>
      </c>
      <c r="J109" s="12" t="s">
        <v>359</v>
      </c>
      <c r="K109" s="12" t="s">
        <v>392</v>
      </c>
      <c r="L109" s="13" t="s">
        <v>234</v>
      </c>
      <c r="M109" s="12" t="s">
        <v>399</v>
      </c>
      <c r="N109" s="13" t="s">
        <v>388</v>
      </c>
      <c r="O109" s="13" t="s">
        <v>350</v>
      </c>
      <c r="P109" s="13" t="n">
        <v>30</v>
      </c>
      <c r="Q109" s="12" t="s">
        <v>368</v>
      </c>
      <c r="R109" s="12" t="s">
        <v>396</v>
      </c>
      <c r="S109" s="12" t="s">
        <v>352</v>
      </c>
      <c r="T109" s="12" t="s">
        <v>361</v>
      </c>
      <c r="U109" s="14"/>
      <c r="V109" s="3"/>
    </row>
    <row r="110" customFormat="false" ht="15" hidden="false" customHeight="true" outlineLevel="0" collapsed="false">
      <c r="A110" s="12" t="s">
        <v>611</v>
      </c>
      <c r="B110" s="12" t="s">
        <v>269</v>
      </c>
      <c r="C110" s="12" t="s">
        <v>267</v>
      </c>
      <c r="D110" s="12" t="s">
        <v>612</v>
      </c>
      <c r="E110" s="12" t="s">
        <v>270</v>
      </c>
      <c r="F110" s="12" t="s">
        <v>257</v>
      </c>
      <c r="G110" s="12" t="s">
        <v>130</v>
      </c>
      <c r="H110" s="13" t="s">
        <v>129</v>
      </c>
      <c r="I110" s="13" t="s">
        <v>133</v>
      </c>
      <c r="J110" s="12" t="s">
        <v>359</v>
      </c>
      <c r="K110" s="12" t="s">
        <v>392</v>
      </c>
      <c r="L110" s="13" t="s">
        <v>234</v>
      </c>
      <c r="M110" s="12" t="s">
        <v>399</v>
      </c>
      <c r="N110" s="13" t="s">
        <v>388</v>
      </c>
      <c r="O110" s="13" t="s">
        <v>350</v>
      </c>
      <c r="P110" s="13" t="n">
        <v>30</v>
      </c>
      <c r="Q110" s="12" t="s">
        <v>368</v>
      </c>
      <c r="R110" s="12" t="s">
        <v>396</v>
      </c>
      <c r="S110" s="12" t="s">
        <v>352</v>
      </c>
      <c r="T110" s="12" t="s">
        <v>361</v>
      </c>
      <c r="U110" s="14"/>
      <c r="V110" s="3"/>
    </row>
    <row r="111" customFormat="false" ht="30" hidden="false" customHeight="true" outlineLevel="0" collapsed="false">
      <c r="A111" s="12" t="s">
        <v>613</v>
      </c>
      <c r="B111" s="12" t="s">
        <v>269</v>
      </c>
      <c r="C111" s="12" t="s">
        <v>243</v>
      </c>
      <c r="D111" s="12" t="s">
        <v>424</v>
      </c>
      <c r="E111" s="12" t="s">
        <v>386</v>
      </c>
      <c r="F111" s="12" t="s">
        <v>233</v>
      </c>
      <c r="G111" s="12" t="s">
        <v>130</v>
      </c>
      <c r="H111" s="13" t="s">
        <v>163</v>
      </c>
      <c r="I111" s="13" t="s">
        <v>133</v>
      </c>
      <c r="J111" s="12" t="s">
        <v>164</v>
      </c>
      <c r="K111" s="12" t="s">
        <v>392</v>
      </c>
      <c r="L111" s="13" t="s">
        <v>234</v>
      </c>
      <c r="M111" s="12" t="s">
        <v>387</v>
      </c>
      <c r="N111" s="13" t="s">
        <v>388</v>
      </c>
      <c r="O111" s="13" t="s">
        <v>350</v>
      </c>
      <c r="P111" s="13" t="n">
        <v>20</v>
      </c>
      <c r="Q111" s="12" t="s">
        <v>368</v>
      </c>
      <c r="R111" s="12" t="s">
        <v>233</v>
      </c>
      <c r="S111" s="12" t="s">
        <v>352</v>
      </c>
      <c r="T111" s="12" t="s">
        <v>361</v>
      </c>
      <c r="U111" s="14"/>
      <c r="V111" s="15" t="s">
        <v>614</v>
      </c>
    </row>
    <row r="112" customFormat="false" ht="15" hidden="false" customHeight="true" outlineLevel="0" collapsed="false">
      <c r="A112" s="12" t="s">
        <v>615</v>
      </c>
      <c r="B112" s="12" t="s">
        <v>269</v>
      </c>
      <c r="C112" s="12" t="s">
        <v>236</v>
      </c>
      <c r="D112" s="12" t="s">
        <v>616</v>
      </c>
      <c r="E112" s="12" t="s">
        <v>238</v>
      </c>
      <c r="F112" s="12" t="s">
        <v>233</v>
      </c>
      <c r="G112" s="12" t="s">
        <v>130</v>
      </c>
      <c r="H112" s="13" t="s">
        <v>129</v>
      </c>
      <c r="I112" s="13" t="s">
        <v>133</v>
      </c>
      <c r="J112" s="12" t="s">
        <v>359</v>
      </c>
      <c r="K112" s="12" t="s">
        <v>392</v>
      </c>
      <c r="L112" s="13" t="s">
        <v>234</v>
      </c>
      <c r="M112" s="12" t="s">
        <v>422</v>
      </c>
      <c r="N112" s="13" t="s">
        <v>388</v>
      </c>
      <c r="O112" s="13" t="s">
        <v>350</v>
      </c>
      <c r="P112" s="13" t="n">
        <v>21</v>
      </c>
      <c r="Q112" s="12" t="s">
        <v>368</v>
      </c>
      <c r="R112" s="12" t="s">
        <v>233</v>
      </c>
      <c r="S112" s="12" t="s">
        <v>352</v>
      </c>
      <c r="T112" s="12" t="s">
        <v>361</v>
      </c>
      <c r="U112" s="14"/>
      <c r="V112" s="3"/>
    </row>
    <row r="113" customFormat="false" ht="15" hidden="false" customHeight="true" outlineLevel="0" collapsed="false">
      <c r="A113" s="12" t="s">
        <v>617</v>
      </c>
      <c r="B113" s="12" t="s">
        <v>180</v>
      </c>
      <c r="C113" s="12" t="s">
        <v>140</v>
      </c>
      <c r="D113" s="12" t="s">
        <v>618</v>
      </c>
      <c r="E113" s="12" t="s">
        <v>619</v>
      </c>
      <c r="F113" s="12" t="s">
        <v>128</v>
      </c>
      <c r="G113" s="12" t="s">
        <v>130</v>
      </c>
      <c r="H113" s="13" t="s">
        <v>129</v>
      </c>
      <c r="I113" s="13" t="s">
        <v>133</v>
      </c>
      <c r="J113" s="12" t="s">
        <v>346</v>
      </c>
      <c r="K113" s="12" t="s">
        <v>347</v>
      </c>
      <c r="L113" s="13" t="s">
        <v>131</v>
      </c>
      <c r="M113" s="12" t="s">
        <v>348</v>
      </c>
      <c r="N113" s="13" t="s">
        <v>349</v>
      </c>
      <c r="O113" s="13" t="s">
        <v>350</v>
      </c>
      <c r="P113" s="13" t="n">
        <v>0</v>
      </c>
      <c r="Q113" s="12" t="s">
        <v>351</v>
      </c>
      <c r="R113" s="12"/>
      <c r="S113" s="12" t="s">
        <v>352</v>
      </c>
      <c r="T113" s="12" t="s">
        <v>353</v>
      </c>
      <c r="U113" s="14"/>
      <c r="V113" s="3"/>
    </row>
    <row r="114" customFormat="false" ht="15" hidden="false" customHeight="true" outlineLevel="0" collapsed="false">
      <c r="A114" s="12" t="s">
        <v>620</v>
      </c>
      <c r="B114" s="12" t="s">
        <v>180</v>
      </c>
      <c r="C114" s="12" t="s">
        <v>136</v>
      </c>
      <c r="D114" s="12" t="s">
        <v>621</v>
      </c>
      <c r="E114" s="12" t="s">
        <v>139</v>
      </c>
      <c r="F114" s="12" t="s">
        <v>128</v>
      </c>
      <c r="G114" s="12" t="s">
        <v>130</v>
      </c>
      <c r="H114" s="13" t="s">
        <v>129</v>
      </c>
      <c r="I114" s="13" t="s">
        <v>133</v>
      </c>
      <c r="J114" s="12" t="s">
        <v>346</v>
      </c>
      <c r="K114" s="12" t="s">
        <v>347</v>
      </c>
      <c r="L114" s="13" t="s">
        <v>131</v>
      </c>
      <c r="M114" s="12" t="s">
        <v>348</v>
      </c>
      <c r="N114" s="13" t="s">
        <v>349</v>
      </c>
      <c r="O114" s="13" t="s">
        <v>350</v>
      </c>
      <c r="P114" s="13" t="n">
        <v>0</v>
      </c>
      <c r="Q114" s="12" t="s">
        <v>351</v>
      </c>
      <c r="R114" s="12"/>
      <c r="S114" s="12" t="s">
        <v>352</v>
      </c>
      <c r="T114" s="12" t="s">
        <v>353</v>
      </c>
      <c r="U114" s="14"/>
      <c r="V114" s="3"/>
    </row>
    <row r="115" customFormat="false" ht="15" hidden="false" customHeight="true" outlineLevel="0" collapsed="false">
      <c r="A115" s="12" t="s">
        <v>622</v>
      </c>
      <c r="B115" s="12" t="s">
        <v>180</v>
      </c>
      <c r="C115" s="12" t="s">
        <v>172</v>
      </c>
      <c r="D115" s="12" t="s">
        <v>363</v>
      </c>
      <c r="E115" s="12" t="s">
        <v>553</v>
      </c>
      <c r="F115" s="12" t="s">
        <v>174</v>
      </c>
      <c r="G115" s="12" t="s">
        <v>130</v>
      </c>
      <c r="H115" s="13" t="s">
        <v>129</v>
      </c>
      <c r="I115" s="13" t="s">
        <v>133</v>
      </c>
      <c r="J115" s="12" t="s">
        <v>359</v>
      </c>
      <c r="K115" s="12" t="s">
        <v>347</v>
      </c>
      <c r="L115" s="13" t="s">
        <v>131</v>
      </c>
      <c r="M115" s="12" t="s">
        <v>348</v>
      </c>
      <c r="N115" s="13" t="s">
        <v>349</v>
      </c>
      <c r="O115" s="13" t="s">
        <v>350</v>
      </c>
      <c r="P115" s="13" t="n">
        <v>0</v>
      </c>
      <c r="Q115" s="12" t="s">
        <v>360</v>
      </c>
      <c r="R115" s="12" t="s">
        <v>346</v>
      </c>
      <c r="S115" s="12" t="s">
        <v>352</v>
      </c>
      <c r="T115" s="12" t="s">
        <v>361</v>
      </c>
      <c r="U115" s="14"/>
      <c r="V115" s="3"/>
    </row>
    <row r="116" customFormat="false" ht="15" hidden="false" customHeight="true" outlineLevel="0" collapsed="false">
      <c r="A116" s="12" t="s">
        <v>623</v>
      </c>
      <c r="B116" s="12" t="s">
        <v>180</v>
      </c>
      <c r="C116" s="12" t="s">
        <v>182</v>
      </c>
      <c r="D116" s="12" t="s">
        <v>358</v>
      </c>
      <c r="E116" s="12" t="s">
        <v>184</v>
      </c>
      <c r="F116" s="12" t="s">
        <v>174</v>
      </c>
      <c r="G116" s="12" t="s">
        <v>130</v>
      </c>
      <c r="H116" s="13" t="s">
        <v>129</v>
      </c>
      <c r="I116" s="13" t="s">
        <v>133</v>
      </c>
      <c r="J116" s="12" t="s">
        <v>359</v>
      </c>
      <c r="K116" s="12" t="s">
        <v>347</v>
      </c>
      <c r="L116" s="13" t="s">
        <v>131</v>
      </c>
      <c r="M116" s="12" t="s">
        <v>348</v>
      </c>
      <c r="N116" s="13" t="s">
        <v>349</v>
      </c>
      <c r="O116" s="13" t="s">
        <v>350</v>
      </c>
      <c r="P116" s="13" t="n">
        <v>0</v>
      </c>
      <c r="Q116" s="12" t="s">
        <v>360</v>
      </c>
      <c r="R116" s="12" t="s">
        <v>346</v>
      </c>
      <c r="S116" s="12" t="s">
        <v>352</v>
      </c>
      <c r="T116" s="12" t="s">
        <v>361</v>
      </c>
      <c r="U116" s="14"/>
      <c r="V116" s="3"/>
    </row>
    <row r="117" customFormat="false" ht="45" hidden="false" customHeight="true" outlineLevel="0" collapsed="false">
      <c r="A117" s="12" t="s">
        <v>624</v>
      </c>
      <c r="B117" s="12" t="s">
        <v>180</v>
      </c>
      <c r="C117" s="12" t="s">
        <v>178</v>
      </c>
      <c r="D117" s="12"/>
      <c r="E117" s="12" t="s">
        <v>181</v>
      </c>
      <c r="F117" s="12" t="s">
        <v>174</v>
      </c>
      <c r="G117" s="12" t="s">
        <v>130</v>
      </c>
      <c r="H117" s="13" t="s">
        <v>129</v>
      </c>
      <c r="I117" s="13" t="s">
        <v>133</v>
      </c>
      <c r="J117" s="12" t="s">
        <v>359</v>
      </c>
      <c r="K117" s="12"/>
      <c r="L117" s="13" t="s">
        <v>131</v>
      </c>
      <c r="M117" s="12" t="s">
        <v>348</v>
      </c>
      <c r="N117" s="13" t="s">
        <v>349</v>
      </c>
      <c r="O117" s="13" t="s">
        <v>350</v>
      </c>
      <c r="P117" s="13" t="n">
        <v>0</v>
      </c>
      <c r="Q117" s="12" t="s">
        <v>360</v>
      </c>
      <c r="R117" s="12" t="s">
        <v>346</v>
      </c>
      <c r="S117" s="12"/>
      <c r="T117" s="12"/>
      <c r="U117" s="14"/>
      <c r="V117" s="15" t="s">
        <v>454</v>
      </c>
    </row>
    <row r="118" customFormat="false" ht="15" hidden="false" customHeight="true" outlineLevel="0" collapsed="false">
      <c r="A118" s="12" t="s">
        <v>625</v>
      </c>
      <c r="B118" s="12" t="s">
        <v>180</v>
      </c>
      <c r="C118" s="12" t="s">
        <v>185</v>
      </c>
      <c r="D118" s="12" t="s">
        <v>516</v>
      </c>
      <c r="E118" s="12" t="s">
        <v>190</v>
      </c>
      <c r="F118" s="12" t="s">
        <v>187</v>
      </c>
      <c r="G118" s="12" t="s">
        <v>130</v>
      </c>
      <c r="H118" s="13" t="s">
        <v>129</v>
      </c>
      <c r="I118" s="13" t="s">
        <v>133</v>
      </c>
      <c r="J118" s="12" t="s">
        <v>359</v>
      </c>
      <c r="K118" s="12" t="s">
        <v>347</v>
      </c>
      <c r="L118" s="13" t="s">
        <v>188</v>
      </c>
      <c r="M118" s="12" t="s">
        <v>348</v>
      </c>
      <c r="N118" s="13" t="s">
        <v>349</v>
      </c>
      <c r="O118" s="13" t="s">
        <v>350</v>
      </c>
      <c r="P118" s="13" t="n">
        <v>0</v>
      </c>
      <c r="Q118" s="12" t="s">
        <v>368</v>
      </c>
      <c r="R118" s="12" t="s">
        <v>369</v>
      </c>
      <c r="S118" s="12" t="s">
        <v>352</v>
      </c>
      <c r="T118" s="12" t="s">
        <v>361</v>
      </c>
      <c r="U118" s="14"/>
      <c r="V118" s="3"/>
    </row>
    <row r="119" customFormat="false" ht="15" hidden="false" customHeight="true" outlineLevel="0" collapsed="false">
      <c r="A119" s="12" t="s">
        <v>626</v>
      </c>
      <c r="B119" s="12" t="s">
        <v>180</v>
      </c>
      <c r="C119" s="12" t="s">
        <v>201</v>
      </c>
      <c r="D119" s="12" t="s">
        <v>377</v>
      </c>
      <c r="E119" s="12" t="s">
        <v>203</v>
      </c>
      <c r="F119" s="12" t="s">
        <v>187</v>
      </c>
      <c r="G119" s="12" t="s">
        <v>130</v>
      </c>
      <c r="H119" s="13" t="s">
        <v>129</v>
      </c>
      <c r="I119" s="13" t="s">
        <v>133</v>
      </c>
      <c r="J119" s="12" t="s">
        <v>359</v>
      </c>
      <c r="K119" s="12" t="s">
        <v>347</v>
      </c>
      <c r="L119" s="13" t="s">
        <v>188</v>
      </c>
      <c r="M119" s="12" t="s">
        <v>348</v>
      </c>
      <c r="N119" s="13" t="s">
        <v>349</v>
      </c>
      <c r="O119" s="13" t="s">
        <v>350</v>
      </c>
      <c r="P119" s="13" t="n">
        <v>0</v>
      </c>
      <c r="Q119" s="12" t="s">
        <v>368</v>
      </c>
      <c r="R119" s="12" t="s">
        <v>369</v>
      </c>
      <c r="S119" s="12" t="s">
        <v>352</v>
      </c>
      <c r="T119" s="12" t="s">
        <v>361</v>
      </c>
      <c r="U119" s="14"/>
      <c r="V119" s="3"/>
    </row>
    <row r="120" customFormat="false" ht="15" hidden="false" customHeight="true" outlineLevel="0" collapsed="false">
      <c r="A120" s="12" t="s">
        <v>627</v>
      </c>
      <c r="B120" s="12" t="s">
        <v>180</v>
      </c>
      <c r="C120" s="12" t="s">
        <v>191</v>
      </c>
      <c r="D120" s="12" t="s">
        <v>560</v>
      </c>
      <c r="E120" s="12" t="s">
        <v>193</v>
      </c>
      <c r="F120" s="12" t="s">
        <v>187</v>
      </c>
      <c r="G120" s="12" t="s">
        <v>130</v>
      </c>
      <c r="H120" s="13" t="s">
        <v>129</v>
      </c>
      <c r="I120" s="13" t="s">
        <v>133</v>
      </c>
      <c r="J120" s="12" t="s">
        <v>359</v>
      </c>
      <c r="K120" s="12" t="s">
        <v>347</v>
      </c>
      <c r="L120" s="13" t="s">
        <v>188</v>
      </c>
      <c r="M120" s="12" t="s">
        <v>348</v>
      </c>
      <c r="N120" s="13" t="s">
        <v>349</v>
      </c>
      <c r="O120" s="13" t="s">
        <v>350</v>
      </c>
      <c r="P120" s="13" t="n">
        <v>0</v>
      </c>
      <c r="Q120" s="12" t="s">
        <v>368</v>
      </c>
      <c r="R120" s="12" t="s">
        <v>369</v>
      </c>
      <c r="S120" s="12" t="s">
        <v>352</v>
      </c>
      <c r="T120" s="12" t="s">
        <v>361</v>
      </c>
      <c r="U120" s="14"/>
      <c r="V120" s="3"/>
    </row>
    <row r="121" customFormat="false" ht="15" hidden="false" customHeight="true" outlineLevel="0" collapsed="false">
      <c r="A121" s="12" t="s">
        <v>628</v>
      </c>
      <c r="B121" s="12" t="s">
        <v>180</v>
      </c>
      <c r="C121" s="12" t="s">
        <v>194</v>
      </c>
      <c r="D121" s="12" t="s">
        <v>562</v>
      </c>
      <c r="E121" s="12" t="s">
        <v>196</v>
      </c>
      <c r="F121" s="12" t="s">
        <v>187</v>
      </c>
      <c r="G121" s="12" t="s">
        <v>130</v>
      </c>
      <c r="H121" s="13" t="s">
        <v>129</v>
      </c>
      <c r="I121" s="13" t="s">
        <v>133</v>
      </c>
      <c r="J121" s="12" t="s">
        <v>359</v>
      </c>
      <c r="K121" s="12" t="s">
        <v>347</v>
      </c>
      <c r="L121" s="13" t="s">
        <v>188</v>
      </c>
      <c r="M121" s="12" t="s">
        <v>348</v>
      </c>
      <c r="N121" s="13" t="s">
        <v>349</v>
      </c>
      <c r="O121" s="13" t="s">
        <v>350</v>
      </c>
      <c r="P121" s="13" t="n">
        <v>0</v>
      </c>
      <c r="Q121" s="12" t="s">
        <v>368</v>
      </c>
      <c r="R121" s="12" t="s">
        <v>369</v>
      </c>
      <c r="S121" s="12" t="s">
        <v>352</v>
      </c>
      <c r="T121" s="12" t="s">
        <v>361</v>
      </c>
      <c r="U121" s="14"/>
      <c r="V121" s="3"/>
    </row>
    <row r="122" customFormat="false" ht="15" hidden="false" customHeight="true" outlineLevel="0" collapsed="false">
      <c r="A122" s="12" t="s">
        <v>629</v>
      </c>
      <c r="B122" s="12" t="s">
        <v>180</v>
      </c>
      <c r="C122" s="12" t="s">
        <v>207</v>
      </c>
      <c r="D122" s="12" t="s">
        <v>564</v>
      </c>
      <c r="E122" s="12" t="s">
        <v>383</v>
      </c>
      <c r="F122" s="12" t="s">
        <v>187</v>
      </c>
      <c r="G122" s="12" t="s">
        <v>130</v>
      </c>
      <c r="H122" s="13" t="s">
        <v>129</v>
      </c>
      <c r="I122" s="13" t="s">
        <v>133</v>
      </c>
      <c r="J122" s="12" t="s">
        <v>359</v>
      </c>
      <c r="K122" s="12" t="s">
        <v>347</v>
      </c>
      <c r="L122" s="13" t="s">
        <v>188</v>
      </c>
      <c r="M122" s="12" t="s">
        <v>348</v>
      </c>
      <c r="N122" s="13" t="s">
        <v>349</v>
      </c>
      <c r="O122" s="13" t="s">
        <v>350</v>
      </c>
      <c r="P122" s="13" t="n">
        <v>0</v>
      </c>
      <c r="Q122" s="12" t="s">
        <v>368</v>
      </c>
      <c r="R122" s="12" t="s">
        <v>369</v>
      </c>
      <c r="S122" s="12" t="s">
        <v>352</v>
      </c>
      <c r="T122" s="12" t="s">
        <v>361</v>
      </c>
      <c r="U122" s="14"/>
      <c r="V122" s="3"/>
    </row>
    <row r="123" customFormat="false" ht="15" hidden="false" customHeight="true" outlineLevel="0" collapsed="false">
      <c r="A123" s="12" t="s">
        <v>630</v>
      </c>
      <c r="B123" s="12" t="s">
        <v>180</v>
      </c>
      <c r="C123" s="12" t="s">
        <v>204</v>
      </c>
      <c r="D123" s="12" t="s">
        <v>567</v>
      </c>
      <c r="E123" s="12" t="s">
        <v>521</v>
      </c>
      <c r="F123" s="12" t="s">
        <v>187</v>
      </c>
      <c r="G123" s="12" t="s">
        <v>130</v>
      </c>
      <c r="H123" s="13" t="s">
        <v>129</v>
      </c>
      <c r="I123" s="13" t="s">
        <v>133</v>
      </c>
      <c r="J123" s="12" t="s">
        <v>359</v>
      </c>
      <c r="K123" s="12" t="s">
        <v>347</v>
      </c>
      <c r="L123" s="13" t="s">
        <v>188</v>
      </c>
      <c r="M123" s="12" t="s">
        <v>348</v>
      </c>
      <c r="N123" s="13" t="s">
        <v>349</v>
      </c>
      <c r="O123" s="13" t="s">
        <v>350</v>
      </c>
      <c r="P123" s="13" t="n">
        <v>0</v>
      </c>
      <c r="Q123" s="12" t="s">
        <v>368</v>
      </c>
      <c r="R123" s="12" t="s">
        <v>369</v>
      </c>
      <c r="S123" s="12" t="s">
        <v>352</v>
      </c>
      <c r="T123" s="12" t="s">
        <v>361</v>
      </c>
      <c r="U123" s="14"/>
      <c r="V123" s="3"/>
    </row>
    <row r="124" customFormat="false" ht="15" hidden="false" customHeight="true" outlineLevel="0" collapsed="false">
      <c r="A124" s="12" t="s">
        <v>631</v>
      </c>
      <c r="B124" s="12" t="s">
        <v>180</v>
      </c>
      <c r="C124" s="12" t="s">
        <v>197</v>
      </c>
      <c r="D124" s="12" t="s">
        <v>569</v>
      </c>
      <c r="E124" s="12" t="s">
        <v>200</v>
      </c>
      <c r="F124" s="12" t="s">
        <v>187</v>
      </c>
      <c r="G124" s="12" t="s">
        <v>130</v>
      </c>
      <c r="H124" s="13" t="s">
        <v>129</v>
      </c>
      <c r="I124" s="13" t="s">
        <v>133</v>
      </c>
      <c r="J124" s="12" t="s">
        <v>359</v>
      </c>
      <c r="K124" s="12" t="s">
        <v>347</v>
      </c>
      <c r="L124" s="13" t="s">
        <v>188</v>
      </c>
      <c r="M124" s="12" t="s">
        <v>348</v>
      </c>
      <c r="N124" s="13" t="s">
        <v>349</v>
      </c>
      <c r="O124" s="13" t="s">
        <v>350</v>
      </c>
      <c r="P124" s="13" t="n">
        <v>0</v>
      </c>
      <c r="Q124" s="12" t="s">
        <v>368</v>
      </c>
      <c r="R124" s="12" t="s">
        <v>369</v>
      </c>
      <c r="S124" s="12" t="s">
        <v>352</v>
      </c>
      <c r="T124" s="12" t="s">
        <v>361</v>
      </c>
      <c r="U124" s="14"/>
      <c r="V124" s="3"/>
    </row>
    <row r="125" customFormat="false" ht="15" hidden="false" customHeight="true" outlineLevel="0" collapsed="false">
      <c r="A125" s="12" t="s">
        <v>632</v>
      </c>
      <c r="B125" s="12" t="s">
        <v>633</v>
      </c>
      <c r="C125" s="12" t="s">
        <v>140</v>
      </c>
      <c r="D125" s="12" t="s">
        <v>618</v>
      </c>
      <c r="E125" s="12" t="s">
        <v>619</v>
      </c>
      <c r="F125" s="12" t="s">
        <v>128</v>
      </c>
      <c r="G125" s="12" t="s">
        <v>130</v>
      </c>
      <c r="H125" s="13" t="s">
        <v>129</v>
      </c>
      <c r="I125" s="13" t="s">
        <v>133</v>
      </c>
      <c r="J125" s="12" t="s">
        <v>346</v>
      </c>
      <c r="K125" s="12" t="s">
        <v>347</v>
      </c>
      <c r="L125" s="13" t="s">
        <v>131</v>
      </c>
      <c r="M125" s="12" t="s">
        <v>634</v>
      </c>
      <c r="N125" s="13" t="s">
        <v>388</v>
      </c>
      <c r="O125" s="13" t="s">
        <v>404</v>
      </c>
      <c r="P125" s="13" t="n">
        <v>9</v>
      </c>
      <c r="Q125" s="12" t="s">
        <v>351</v>
      </c>
      <c r="R125" s="12"/>
      <c r="S125" s="12" t="s">
        <v>352</v>
      </c>
      <c r="T125" s="12" t="s">
        <v>353</v>
      </c>
      <c r="U125" s="14"/>
      <c r="V125" s="3"/>
    </row>
    <row r="126" customFormat="false" ht="15" hidden="false" customHeight="true" outlineLevel="0" collapsed="false">
      <c r="A126" s="12" t="s">
        <v>635</v>
      </c>
      <c r="B126" s="12" t="s">
        <v>633</v>
      </c>
      <c r="C126" s="12" t="s">
        <v>136</v>
      </c>
      <c r="D126" s="12" t="s">
        <v>621</v>
      </c>
      <c r="E126" s="12" t="s">
        <v>139</v>
      </c>
      <c r="F126" s="12" t="s">
        <v>128</v>
      </c>
      <c r="G126" s="12" t="s">
        <v>130</v>
      </c>
      <c r="H126" s="13" t="s">
        <v>129</v>
      </c>
      <c r="I126" s="13" t="s">
        <v>133</v>
      </c>
      <c r="J126" s="12" t="s">
        <v>346</v>
      </c>
      <c r="K126" s="12" t="s">
        <v>347</v>
      </c>
      <c r="L126" s="13" t="s">
        <v>131</v>
      </c>
      <c r="M126" s="12" t="s">
        <v>634</v>
      </c>
      <c r="N126" s="13" t="s">
        <v>388</v>
      </c>
      <c r="O126" s="13" t="s">
        <v>404</v>
      </c>
      <c r="P126" s="13" t="n">
        <v>9</v>
      </c>
      <c r="Q126" s="12" t="s">
        <v>351</v>
      </c>
      <c r="R126" s="12"/>
      <c r="S126" s="12" t="s">
        <v>352</v>
      </c>
      <c r="T126" s="12" t="s">
        <v>353</v>
      </c>
      <c r="U126" s="14"/>
      <c r="V126" s="3"/>
    </row>
    <row r="127" customFormat="false" ht="15" hidden="false" customHeight="true" outlineLevel="0" collapsed="false">
      <c r="A127" s="12" t="s">
        <v>636</v>
      </c>
      <c r="B127" s="12" t="s">
        <v>633</v>
      </c>
      <c r="C127" s="12" t="s">
        <v>126</v>
      </c>
      <c r="D127" s="12" t="s">
        <v>637</v>
      </c>
      <c r="E127" s="12" t="s">
        <v>638</v>
      </c>
      <c r="F127" s="12" t="s">
        <v>128</v>
      </c>
      <c r="G127" s="12" t="s">
        <v>130</v>
      </c>
      <c r="H127" s="13" t="s">
        <v>129</v>
      </c>
      <c r="I127" s="13" t="s">
        <v>133</v>
      </c>
      <c r="J127" s="12" t="s">
        <v>346</v>
      </c>
      <c r="K127" s="12" t="s">
        <v>347</v>
      </c>
      <c r="L127" s="13" t="s">
        <v>131</v>
      </c>
      <c r="M127" s="12" t="s">
        <v>634</v>
      </c>
      <c r="N127" s="13" t="s">
        <v>388</v>
      </c>
      <c r="O127" s="13" t="s">
        <v>404</v>
      </c>
      <c r="P127" s="13" t="n">
        <v>9</v>
      </c>
      <c r="Q127" s="12" t="s">
        <v>351</v>
      </c>
      <c r="R127" s="12"/>
      <c r="S127" s="12" t="s">
        <v>352</v>
      </c>
      <c r="T127" s="12" t="s">
        <v>353</v>
      </c>
      <c r="U127" s="14"/>
      <c r="V127" s="3"/>
    </row>
    <row r="128" customFormat="false" ht="15" hidden="false" customHeight="true" outlineLevel="0" collapsed="false">
      <c r="A128" s="12" t="s">
        <v>639</v>
      </c>
      <c r="B128" s="12" t="s">
        <v>633</v>
      </c>
      <c r="C128" s="12" t="s">
        <v>172</v>
      </c>
      <c r="D128" s="12" t="s">
        <v>363</v>
      </c>
      <c r="E128" s="12" t="s">
        <v>364</v>
      </c>
      <c r="F128" s="12" t="s">
        <v>174</v>
      </c>
      <c r="G128" s="12" t="s">
        <v>130</v>
      </c>
      <c r="H128" s="13" t="s">
        <v>129</v>
      </c>
      <c r="I128" s="13" t="s">
        <v>133</v>
      </c>
      <c r="J128" s="12" t="s">
        <v>359</v>
      </c>
      <c r="K128" s="12" t="s">
        <v>347</v>
      </c>
      <c r="L128" s="13" t="s">
        <v>131</v>
      </c>
      <c r="M128" s="12" t="s">
        <v>348</v>
      </c>
      <c r="N128" s="13" t="s">
        <v>349</v>
      </c>
      <c r="O128" s="13" t="s">
        <v>350</v>
      </c>
      <c r="P128" s="13" t="n">
        <v>0</v>
      </c>
      <c r="Q128" s="12" t="s">
        <v>360</v>
      </c>
      <c r="R128" s="12" t="s">
        <v>346</v>
      </c>
      <c r="S128" s="12" t="s">
        <v>352</v>
      </c>
      <c r="T128" s="12" t="s">
        <v>361</v>
      </c>
      <c r="U128" s="14"/>
      <c r="V128" s="15" t="s">
        <v>365</v>
      </c>
    </row>
    <row r="129" customFormat="false" ht="15" hidden="false" customHeight="true" outlineLevel="0" collapsed="false">
      <c r="A129" s="12" t="s">
        <v>640</v>
      </c>
      <c r="B129" s="12" t="s">
        <v>633</v>
      </c>
      <c r="C129" s="12" t="s">
        <v>182</v>
      </c>
      <c r="D129" s="12" t="s">
        <v>358</v>
      </c>
      <c r="E129" s="12" t="s">
        <v>184</v>
      </c>
      <c r="F129" s="12" t="s">
        <v>174</v>
      </c>
      <c r="G129" s="12" t="s">
        <v>130</v>
      </c>
      <c r="H129" s="13" t="s">
        <v>129</v>
      </c>
      <c r="I129" s="13" t="s">
        <v>133</v>
      </c>
      <c r="J129" s="12" t="s">
        <v>359</v>
      </c>
      <c r="K129" s="12" t="s">
        <v>347</v>
      </c>
      <c r="L129" s="13" t="s">
        <v>131</v>
      </c>
      <c r="M129" s="12" t="s">
        <v>348</v>
      </c>
      <c r="N129" s="13" t="s">
        <v>349</v>
      </c>
      <c r="O129" s="13" t="s">
        <v>350</v>
      </c>
      <c r="P129" s="13" t="n">
        <v>0</v>
      </c>
      <c r="Q129" s="12" t="s">
        <v>360</v>
      </c>
      <c r="R129" s="12" t="s">
        <v>346</v>
      </c>
      <c r="S129" s="12" t="s">
        <v>352</v>
      </c>
      <c r="T129" s="12" t="s">
        <v>361</v>
      </c>
      <c r="U129" s="14"/>
      <c r="V129" s="3"/>
    </row>
    <row r="130" customFormat="false" ht="15" hidden="false" customHeight="true" outlineLevel="0" collapsed="false">
      <c r="A130" s="12" t="s">
        <v>641</v>
      </c>
      <c r="B130" s="12" t="s">
        <v>633</v>
      </c>
      <c r="C130" s="12" t="s">
        <v>185</v>
      </c>
      <c r="D130" s="12" t="s">
        <v>516</v>
      </c>
      <c r="E130" s="12" t="s">
        <v>190</v>
      </c>
      <c r="F130" s="12" t="s">
        <v>187</v>
      </c>
      <c r="G130" s="12" t="s">
        <v>130</v>
      </c>
      <c r="H130" s="13" t="s">
        <v>129</v>
      </c>
      <c r="I130" s="13" t="s">
        <v>133</v>
      </c>
      <c r="J130" s="12" t="s">
        <v>359</v>
      </c>
      <c r="K130" s="12" t="s">
        <v>347</v>
      </c>
      <c r="L130" s="13" t="s">
        <v>188</v>
      </c>
      <c r="M130" s="12" t="s">
        <v>348</v>
      </c>
      <c r="N130" s="13" t="s">
        <v>349</v>
      </c>
      <c r="O130" s="13" t="s">
        <v>350</v>
      </c>
      <c r="P130" s="13" t="n">
        <v>0</v>
      </c>
      <c r="Q130" s="12" t="s">
        <v>368</v>
      </c>
      <c r="R130" s="12" t="s">
        <v>369</v>
      </c>
      <c r="S130" s="12" t="s">
        <v>352</v>
      </c>
      <c r="T130" s="12" t="s">
        <v>361</v>
      </c>
      <c r="U130" s="14"/>
      <c r="V130" s="3"/>
    </row>
    <row r="131" customFormat="false" ht="15" hidden="false" customHeight="true" outlineLevel="0" collapsed="false">
      <c r="A131" s="12" t="s">
        <v>642</v>
      </c>
      <c r="B131" s="12" t="s">
        <v>633</v>
      </c>
      <c r="C131" s="12" t="s">
        <v>191</v>
      </c>
      <c r="D131" s="12" t="s">
        <v>560</v>
      </c>
      <c r="E131" s="12" t="s">
        <v>193</v>
      </c>
      <c r="F131" s="12" t="s">
        <v>187</v>
      </c>
      <c r="G131" s="12" t="s">
        <v>130</v>
      </c>
      <c r="H131" s="13" t="s">
        <v>129</v>
      </c>
      <c r="I131" s="13" t="s">
        <v>133</v>
      </c>
      <c r="J131" s="12" t="s">
        <v>359</v>
      </c>
      <c r="K131" s="12" t="s">
        <v>347</v>
      </c>
      <c r="L131" s="13" t="s">
        <v>188</v>
      </c>
      <c r="M131" s="12" t="s">
        <v>348</v>
      </c>
      <c r="N131" s="13" t="s">
        <v>349</v>
      </c>
      <c r="O131" s="13" t="s">
        <v>350</v>
      </c>
      <c r="P131" s="13" t="n">
        <v>0</v>
      </c>
      <c r="Q131" s="12" t="s">
        <v>368</v>
      </c>
      <c r="R131" s="12" t="s">
        <v>369</v>
      </c>
      <c r="S131" s="12" t="s">
        <v>352</v>
      </c>
      <c r="T131" s="12" t="s">
        <v>361</v>
      </c>
      <c r="U131" s="14"/>
      <c r="V131" s="3"/>
    </row>
    <row r="132" customFormat="false" ht="15" hidden="false" customHeight="true" outlineLevel="0" collapsed="false">
      <c r="A132" s="12" t="s">
        <v>643</v>
      </c>
      <c r="B132" s="12" t="s">
        <v>633</v>
      </c>
      <c r="C132" s="12" t="s">
        <v>201</v>
      </c>
      <c r="D132" s="12" t="s">
        <v>377</v>
      </c>
      <c r="E132" s="12" t="s">
        <v>203</v>
      </c>
      <c r="F132" s="12" t="s">
        <v>187</v>
      </c>
      <c r="G132" s="12" t="s">
        <v>130</v>
      </c>
      <c r="H132" s="13" t="s">
        <v>129</v>
      </c>
      <c r="I132" s="13" t="s">
        <v>133</v>
      </c>
      <c r="J132" s="12" t="s">
        <v>359</v>
      </c>
      <c r="K132" s="12" t="s">
        <v>347</v>
      </c>
      <c r="L132" s="13" t="s">
        <v>188</v>
      </c>
      <c r="M132" s="12" t="s">
        <v>348</v>
      </c>
      <c r="N132" s="13" t="s">
        <v>349</v>
      </c>
      <c r="O132" s="13" t="s">
        <v>350</v>
      </c>
      <c r="P132" s="13" t="n">
        <v>0</v>
      </c>
      <c r="Q132" s="12" t="s">
        <v>368</v>
      </c>
      <c r="R132" s="12" t="s">
        <v>369</v>
      </c>
      <c r="S132" s="12" t="s">
        <v>352</v>
      </c>
      <c r="T132" s="12" t="s">
        <v>361</v>
      </c>
      <c r="U132" s="14"/>
      <c r="V132" s="3"/>
    </row>
    <row r="133" customFormat="false" ht="15" hidden="false" customHeight="true" outlineLevel="0" collapsed="false">
      <c r="A133" s="12" t="s">
        <v>644</v>
      </c>
      <c r="B133" s="12" t="s">
        <v>633</v>
      </c>
      <c r="C133" s="12" t="s">
        <v>194</v>
      </c>
      <c r="D133" s="12" t="s">
        <v>562</v>
      </c>
      <c r="E133" s="12" t="s">
        <v>196</v>
      </c>
      <c r="F133" s="12" t="s">
        <v>187</v>
      </c>
      <c r="G133" s="12" t="s">
        <v>130</v>
      </c>
      <c r="H133" s="13" t="s">
        <v>129</v>
      </c>
      <c r="I133" s="13" t="s">
        <v>133</v>
      </c>
      <c r="J133" s="12" t="s">
        <v>359</v>
      </c>
      <c r="K133" s="12" t="s">
        <v>347</v>
      </c>
      <c r="L133" s="13" t="s">
        <v>188</v>
      </c>
      <c r="M133" s="12" t="s">
        <v>348</v>
      </c>
      <c r="N133" s="13" t="s">
        <v>349</v>
      </c>
      <c r="O133" s="13" t="s">
        <v>350</v>
      </c>
      <c r="P133" s="13" t="n">
        <v>0</v>
      </c>
      <c r="Q133" s="12" t="s">
        <v>368</v>
      </c>
      <c r="R133" s="12" t="s">
        <v>369</v>
      </c>
      <c r="S133" s="12" t="s">
        <v>352</v>
      </c>
      <c r="T133" s="12" t="s">
        <v>361</v>
      </c>
      <c r="U133" s="14"/>
      <c r="V133" s="3"/>
    </row>
    <row r="134" customFormat="false" ht="15" hidden="false" customHeight="true" outlineLevel="0" collapsed="false">
      <c r="A134" s="12" t="s">
        <v>645</v>
      </c>
      <c r="B134" s="12" t="s">
        <v>633</v>
      </c>
      <c r="C134" s="12" t="s">
        <v>197</v>
      </c>
      <c r="D134" s="12" t="s">
        <v>569</v>
      </c>
      <c r="E134" s="12" t="s">
        <v>200</v>
      </c>
      <c r="F134" s="12" t="s">
        <v>187</v>
      </c>
      <c r="G134" s="12" t="s">
        <v>130</v>
      </c>
      <c r="H134" s="13" t="s">
        <v>129</v>
      </c>
      <c r="I134" s="13" t="s">
        <v>133</v>
      </c>
      <c r="J134" s="12" t="s">
        <v>359</v>
      </c>
      <c r="K134" s="12" t="s">
        <v>347</v>
      </c>
      <c r="L134" s="13" t="s">
        <v>188</v>
      </c>
      <c r="M134" s="12" t="s">
        <v>348</v>
      </c>
      <c r="N134" s="13" t="s">
        <v>349</v>
      </c>
      <c r="O134" s="13" t="s">
        <v>350</v>
      </c>
      <c r="P134" s="13" t="n">
        <v>0</v>
      </c>
      <c r="Q134" s="12" t="s">
        <v>368</v>
      </c>
      <c r="R134" s="12" t="s">
        <v>369</v>
      </c>
      <c r="S134" s="12" t="s">
        <v>352</v>
      </c>
      <c r="T134" s="12" t="s">
        <v>565</v>
      </c>
      <c r="U134" s="14"/>
      <c r="V134" s="3"/>
    </row>
    <row r="135" customFormat="false" ht="15" hidden="false" customHeight="true" outlineLevel="0" collapsed="false">
      <c r="A135" s="12" t="s">
        <v>646</v>
      </c>
      <c r="B135" s="12" t="s">
        <v>633</v>
      </c>
      <c r="C135" s="12" t="s">
        <v>207</v>
      </c>
      <c r="D135" s="12" t="s">
        <v>564</v>
      </c>
      <c r="E135" s="12" t="s">
        <v>647</v>
      </c>
      <c r="F135" s="12" t="s">
        <v>187</v>
      </c>
      <c r="G135" s="12" t="s">
        <v>130</v>
      </c>
      <c r="H135" s="13" t="s">
        <v>129</v>
      </c>
      <c r="I135" s="13" t="s">
        <v>133</v>
      </c>
      <c r="J135" s="12" t="s">
        <v>359</v>
      </c>
      <c r="K135" s="12" t="s">
        <v>347</v>
      </c>
      <c r="L135" s="13" t="s">
        <v>188</v>
      </c>
      <c r="M135" s="12" t="s">
        <v>348</v>
      </c>
      <c r="N135" s="13" t="s">
        <v>349</v>
      </c>
      <c r="O135" s="13" t="s">
        <v>350</v>
      </c>
      <c r="P135" s="13" t="n">
        <v>0</v>
      </c>
      <c r="Q135" s="12" t="s">
        <v>368</v>
      </c>
      <c r="R135" s="12" t="s">
        <v>369</v>
      </c>
      <c r="S135" s="12" t="s">
        <v>352</v>
      </c>
      <c r="T135" s="12" t="s">
        <v>565</v>
      </c>
      <c r="U135" s="14"/>
      <c r="V135" s="15" t="s">
        <v>365</v>
      </c>
    </row>
    <row r="136" customFormat="false" ht="15" hidden="false" customHeight="true" outlineLevel="0" collapsed="false">
      <c r="A136" s="12" t="s">
        <v>648</v>
      </c>
      <c r="B136" s="12" t="s">
        <v>633</v>
      </c>
      <c r="C136" s="12" t="s">
        <v>204</v>
      </c>
      <c r="D136" s="12" t="s">
        <v>567</v>
      </c>
      <c r="E136" s="12" t="s">
        <v>521</v>
      </c>
      <c r="F136" s="12" t="s">
        <v>187</v>
      </c>
      <c r="G136" s="12" t="s">
        <v>130</v>
      </c>
      <c r="H136" s="13" t="s">
        <v>129</v>
      </c>
      <c r="I136" s="13" t="s">
        <v>133</v>
      </c>
      <c r="J136" s="12" t="s">
        <v>359</v>
      </c>
      <c r="K136" s="12" t="s">
        <v>347</v>
      </c>
      <c r="L136" s="13" t="s">
        <v>188</v>
      </c>
      <c r="M136" s="12" t="s">
        <v>348</v>
      </c>
      <c r="N136" s="13" t="s">
        <v>349</v>
      </c>
      <c r="O136" s="13" t="s">
        <v>350</v>
      </c>
      <c r="P136" s="13" t="n">
        <v>0</v>
      </c>
      <c r="Q136" s="12" t="s">
        <v>368</v>
      </c>
      <c r="R136" s="12" t="s">
        <v>369</v>
      </c>
      <c r="S136" s="12" t="s">
        <v>352</v>
      </c>
      <c r="T136" s="12" t="s">
        <v>565</v>
      </c>
      <c r="U136" s="14"/>
      <c r="V136" s="3"/>
    </row>
    <row r="137" customFormat="false" ht="15" hidden="false" customHeight="true" outlineLevel="0" collapsed="false">
      <c r="A137" s="12" t="s">
        <v>649</v>
      </c>
      <c r="B137" s="12" t="s">
        <v>170</v>
      </c>
      <c r="C137" s="12" t="s">
        <v>140</v>
      </c>
      <c r="D137" s="12" t="s">
        <v>650</v>
      </c>
      <c r="E137" s="12" t="s">
        <v>651</v>
      </c>
      <c r="F137" s="12" t="s">
        <v>128</v>
      </c>
      <c r="G137" s="12" t="s">
        <v>130</v>
      </c>
      <c r="H137" s="13" t="s">
        <v>129</v>
      </c>
      <c r="I137" s="13" t="s">
        <v>133</v>
      </c>
      <c r="J137" s="12" t="s">
        <v>346</v>
      </c>
      <c r="K137" s="12" t="s">
        <v>347</v>
      </c>
      <c r="L137" s="13" t="s">
        <v>131</v>
      </c>
      <c r="M137" s="12" t="s">
        <v>348</v>
      </c>
      <c r="N137" s="13" t="s">
        <v>349</v>
      </c>
      <c r="O137" s="13" t="s">
        <v>350</v>
      </c>
      <c r="P137" s="13" t="n">
        <v>0</v>
      </c>
      <c r="Q137" s="12" t="s">
        <v>351</v>
      </c>
      <c r="R137" s="12"/>
      <c r="S137" s="12" t="s">
        <v>352</v>
      </c>
      <c r="T137" s="12" t="s">
        <v>353</v>
      </c>
      <c r="U137" s="14"/>
      <c r="V137" s="3"/>
    </row>
    <row r="138" customFormat="false" ht="15" hidden="false" customHeight="true" outlineLevel="0" collapsed="false">
      <c r="A138" s="12" t="s">
        <v>652</v>
      </c>
      <c r="B138" s="12" t="s">
        <v>170</v>
      </c>
      <c r="C138" s="12" t="s">
        <v>136</v>
      </c>
      <c r="D138" s="12" t="s">
        <v>621</v>
      </c>
      <c r="E138" s="12" t="s">
        <v>139</v>
      </c>
      <c r="F138" s="12" t="s">
        <v>128</v>
      </c>
      <c r="G138" s="12" t="s">
        <v>130</v>
      </c>
      <c r="H138" s="13" t="s">
        <v>129</v>
      </c>
      <c r="I138" s="13" t="s">
        <v>133</v>
      </c>
      <c r="J138" s="12" t="s">
        <v>346</v>
      </c>
      <c r="K138" s="12" t="s">
        <v>347</v>
      </c>
      <c r="L138" s="13" t="s">
        <v>131</v>
      </c>
      <c r="M138" s="12" t="s">
        <v>348</v>
      </c>
      <c r="N138" s="13" t="s">
        <v>349</v>
      </c>
      <c r="O138" s="13" t="s">
        <v>350</v>
      </c>
      <c r="P138" s="13" t="n">
        <v>0</v>
      </c>
      <c r="Q138" s="12" t="s">
        <v>351</v>
      </c>
      <c r="R138" s="12"/>
      <c r="S138" s="12" t="s">
        <v>352</v>
      </c>
      <c r="T138" s="12" t="s">
        <v>353</v>
      </c>
      <c r="U138" s="14"/>
      <c r="V138" s="3"/>
    </row>
    <row r="139" customFormat="false" ht="15" hidden="false" customHeight="true" outlineLevel="0" collapsed="false">
      <c r="A139" s="12" t="s">
        <v>653</v>
      </c>
      <c r="B139" s="12" t="s">
        <v>170</v>
      </c>
      <c r="C139" s="12" t="s">
        <v>126</v>
      </c>
      <c r="D139" s="12" t="s">
        <v>637</v>
      </c>
      <c r="E139" s="12" t="s">
        <v>638</v>
      </c>
      <c r="F139" s="12" t="s">
        <v>128</v>
      </c>
      <c r="G139" s="12" t="s">
        <v>130</v>
      </c>
      <c r="H139" s="13" t="s">
        <v>129</v>
      </c>
      <c r="I139" s="13" t="s">
        <v>133</v>
      </c>
      <c r="J139" s="12" t="s">
        <v>346</v>
      </c>
      <c r="K139" s="12" t="s">
        <v>347</v>
      </c>
      <c r="L139" s="13" t="s">
        <v>131</v>
      </c>
      <c r="M139" s="12" t="s">
        <v>348</v>
      </c>
      <c r="N139" s="13" t="s">
        <v>349</v>
      </c>
      <c r="O139" s="13" t="s">
        <v>350</v>
      </c>
      <c r="P139" s="13" t="n">
        <v>0</v>
      </c>
      <c r="Q139" s="12" t="s">
        <v>351</v>
      </c>
      <c r="R139" s="12"/>
      <c r="S139" s="12" t="s">
        <v>352</v>
      </c>
      <c r="T139" s="12" t="s">
        <v>353</v>
      </c>
      <c r="U139" s="14"/>
      <c r="V139" s="3"/>
    </row>
    <row r="140" customFormat="false" ht="15" hidden="false" customHeight="true" outlineLevel="0" collapsed="false">
      <c r="A140" s="12" t="s">
        <v>654</v>
      </c>
      <c r="B140" s="12" t="s">
        <v>170</v>
      </c>
      <c r="C140" s="12" t="s">
        <v>172</v>
      </c>
      <c r="D140" s="12" t="s">
        <v>363</v>
      </c>
      <c r="E140" s="12" t="s">
        <v>364</v>
      </c>
      <c r="F140" s="12" t="s">
        <v>174</v>
      </c>
      <c r="G140" s="12" t="s">
        <v>130</v>
      </c>
      <c r="H140" s="13" t="s">
        <v>129</v>
      </c>
      <c r="I140" s="13" t="s">
        <v>133</v>
      </c>
      <c r="J140" s="12" t="s">
        <v>359</v>
      </c>
      <c r="K140" s="12" t="s">
        <v>347</v>
      </c>
      <c r="L140" s="13" t="s">
        <v>131</v>
      </c>
      <c r="M140" s="12" t="s">
        <v>348</v>
      </c>
      <c r="N140" s="13" t="s">
        <v>349</v>
      </c>
      <c r="O140" s="13" t="s">
        <v>350</v>
      </c>
      <c r="P140" s="13" t="n">
        <v>0</v>
      </c>
      <c r="Q140" s="12" t="s">
        <v>360</v>
      </c>
      <c r="R140" s="12" t="s">
        <v>346</v>
      </c>
      <c r="S140" s="12" t="s">
        <v>352</v>
      </c>
      <c r="T140" s="12" t="s">
        <v>361</v>
      </c>
      <c r="U140" s="14"/>
      <c r="V140" s="15" t="s">
        <v>365</v>
      </c>
    </row>
    <row r="141" customFormat="false" ht="15" hidden="false" customHeight="true" outlineLevel="0" collapsed="false">
      <c r="A141" s="12" t="s">
        <v>655</v>
      </c>
      <c r="B141" s="12" t="s">
        <v>170</v>
      </c>
      <c r="C141" s="12" t="s">
        <v>182</v>
      </c>
      <c r="D141" s="12" t="s">
        <v>358</v>
      </c>
      <c r="E141" s="12" t="s">
        <v>184</v>
      </c>
      <c r="F141" s="12" t="s">
        <v>174</v>
      </c>
      <c r="G141" s="12" t="s">
        <v>130</v>
      </c>
      <c r="H141" s="13" t="s">
        <v>129</v>
      </c>
      <c r="I141" s="13" t="s">
        <v>133</v>
      </c>
      <c r="J141" s="12" t="s">
        <v>359</v>
      </c>
      <c r="K141" s="12" t="s">
        <v>347</v>
      </c>
      <c r="L141" s="13" t="s">
        <v>131</v>
      </c>
      <c r="M141" s="12" t="s">
        <v>348</v>
      </c>
      <c r="N141" s="13" t="s">
        <v>349</v>
      </c>
      <c r="O141" s="13" t="s">
        <v>350</v>
      </c>
      <c r="P141" s="13" t="n">
        <v>0</v>
      </c>
      <c r="Q141" s="12" t="s">
        <v>360</v>
      </c>
      <c r="R141" s="12" t="s">
        <v>346</v>
      </c>
      <c r="S141" s="12" t="s">
        <v>352</v>
      </c>
      <c r="T141" s="12" t="s">
        <v>361</v>
      </c>
      <c r="U141" s="14"/>
      <c r="V141" s="3"/>
    </row>
    <row r="142" customFormat="false" ht="15" hidden="false" customHeight="true" outlineLevel="0" collapsed="false">
      <c r="A142" s="12" t="s">
        <v>656</v>
      </c>
      <c r="B142" s="12" t="s">
        <v>170</v>
      </c>
      <c r="C142" s="12" t="s">
        <v>260</v>
      </c>
      <c r="D142" s="12" t="s">
        <v>538</v>
      </c>
      <c r="E142" s="12" t="s">
        <v>263</v>
      </c>
      <c r="F142" s="12" t="s">
        <v>257</v>
      </c>
      <c r="G142" s="12" t="s">
        <v>130</v>
      </c>
      <c r="H142" s="13" t="s">
        <v>129</v>
      </c>
      <c r="I142" s="13" t="s">
        <v>133</v>
      </c>
      <c r="J142" s="12" t="s">
        <v>164</v>
      </c>
      <c r="K142" s="12" t="s">
        <v>392</v>
      </c>
      <c r="L142" s="13" t="s">
        <v>234</v>
      </c>
      <c r="M142" s="12" t="s">
        <v>387</v>
      </c>
      <c r="N142" s="13" t="s">
        <v>388</v>
      </c>
      <c r="O142" s="13" t="s">
        <v>350</v>
      </c>
      <c r="P142" s="13" t="n">
        <v>20</v>
      </c>
      <c r="Q142" s="12" t="s">
        <v>368</v>
      </c>
      <c r="R142" s="12" t="s">
        <v>396</v>
      </c>
      <c r="S142" s="12" t="s">
        <v>352</v>
      </c>
      <c r="T142" s="12" t="s">
        <v>361</v>
      </c>
      <c r="U142" s="14"/>
      <c r="V142" s="15" t="s">
        <v>508</v>
      </c>
    </row>
    <row r="143" customFormat="false" ht="15" hidden="false" customHeight="true" outlineLevel="0" collapsed="false">
      <c r="A143" s="12" t="s">
        <v>657</v>
      </c>
      <c r="B143" s="12" t="s">
        <v>170</v>
      </c>
      <c r="C143" s="12" t="s">
        <v>231</v>
      </c>
      <c r="D143" s="12" t="s">
        <v>385</v>
      </c>
      <c r="E143" s="12" t="s">
        <v>386</v>
      </c>
      <c r="F143" s="12" t="s">
        <v>233</v>
      </c>
      <c r="G143" s="12" t="s">
        <v>130</v>
      </c>
      <c r="H143" s="13" t="s">
        <v>129</v>
      </c>
      <c r="I143" s="13" t="s">
        <v>133</v>
      </c>
      <c r="J143" s="12" t="s">
        <v>164</v>
      </c>
      <c r="K143" s="12" t="s">
        <v>392</v>
      </c>
      <c r="L143" s="13" t="s">
        <v>234</v>
      </c>
      <c r="M143" s="12" t="s">
        <v>387</v>
      </c>
      <c r="N143" s="13" t="s">
        <v>388</v>
      </c>
      <c r="O143" s="13" t="s">
        <v>350</v>
      </c>
      <c r="P143" s="13" t="n">
        <v>20</v>
      </c>
      <c r="Q143" s="12" t="s">
        <v>368</v>
      </c>
      <c r="R143" s="12" t="s">
        <v>233</v>
      </c>
      <c r="S143" s="12" t="s">
        <v>352</v>
      </c>
      <c r="T143" s="12" t="s">
        <v>361</v>
      </c>
      <c r="U143" s="14"/>
      <c r="V143" s="15" t="s">
        <v>508</v>
      </c>
    </row>
    <row r="144" customFormat="false" ht="15" hidden="false" customHeight="true" outlineLevel="0" collapsed="false">
      <c r="A144" s="12" t="s">
        <v>658</v>
      </c>
      <c r="B144" s="12" t="s">
        <v>170</v>
      </c>
      <c r="C144" s="12" t="s">
        <v>236</v>
      </c>
      <c r="D144" s="12" t="s">
        <v>659</v>
      </c>
      <c r="E144" s="12" t="s">
        <v>238</v>
      </c>
      <c r="F144" s="12" t="s">
        <v>233</v>
      </c>
      <c r="G144" s="12" t="s">
        <v>130</v>
      </c>
      <c r="H144" s="13" t="s">
        <v>129</v>
      </c>
      <c r="I144" s="13" t="s">
        <v>133</v>
      </c>
      <c r="J144" s="12" t="s">
        <v>359</v>
      </c>
      <c r="K144" s="12" t="s">
        <v>392</v>
      </c>
      <c r="L144" s="13" t="s">
        <v>234</v>
      </c>
      <c r="M144" s="12" t="s">
        <v>422</v>
      </c>
      <c r="N144" s="13" t="s">
        <v>388</v>
      </c>
      <c r="O144" s="13" t="s">
        <v>350</v>
      </c>
      <c r="P144" s="13" t="n">
        <v>21</v>
      </c>
      <c r="Q144" s="12" t="s">
        <v>368</v>
      </c>
      <c r="R144" s="12" t="s">
        <v>233</v>
      </c>
      <c r="S144" s="12" t="s">
        <v>352</v>
      </c>
      <c r="T144" s="12" t="s">
        <v>361</v>
      </c>
      <c r="U144" s="14"/>
      <c r="V144" s="15" t="s">
        <v>508</v>
      </c>
    </row>
    <row r="145" customFormat="false" ht="15" hidden="false" customHeight="true" outlineLevel="0" collapsed="false">
      <c r="A145" s="12" t="s">
        <v>660</v>
      </c>
      <c r="B145" s="12" t="s">
        <v>170</v>
      </c>
      <c r="C145" s="12" t="s">
        <v>210</v>
      </c>
      <c r="D145" s="12" t="s">
        <v>528</v>
      </c>
      <c r="E145" s="12" t="s">
        <v>214</v>
      </c>
      <c r="F145" s="12" t="s">
        <v>212</v>
      </c>
      <c r="G145" s="12" t="s">
        <v>130</v>
      </c>
      <c r="H145" s="13" t="s">
        <v>129</v>
      </c>
      <c r="I145" s="13" t="s">
        <v>133</v>
      </c>
      <c r="J145" s="12" t="s">
        <v>164</v>
      </c>
      <c r="K145" s="12" t="s">
        <v>347</v>
      </c>
      <c r="L145" s="13" t="s">
        <v>131</v>
      </c>
      <c r="M145" s="12" t="s">
        <v>403</v>
      </c>
      <c r="N145" s="13" t="s">
        <v>388</v>
      </c>
      <c r="O145" s="13" t="s">
        <v>404</v>
      </c>
      <c r="P145" s="13" t="n">
        <v>5</v>
      </c>
      <c r="Q145" s="12" t="s">
        <v>368</v>
      </c>
      <c r="R145" s="12" t="s">
        <v>405</v>
      </c>
      <c r="S145" s="12" t="s">
        <v>352</v>
      </c>
      <c r="T145" s="12" t="s">
        <v>361</v>
      </c>
      <c r="U145" s="14"/>
      <c r="V145" s="3"/>
    </row>
    <row r="146" customFormat="false" ht="15" hidden="false" customHeight="true" outlineLevel="0" collapsed="false">
      <c r="A146" s="12" t="s">
        <v>661</v>
      </c>
      <c r="B146" s="12" t="s">
        <v>170</v>
      </c>
      <c r="C146" s="12" t="s">
        <v>215</v>
      </c>
      <c r="D146" s="12" t="s">
        <v>662</v>
      </c>
      <c r="E146" s="12" t="s">
        <v>217</v>
      </c>
      <c r="F146" s="12" t="s">
        <v>212</v>
      </c>
      <c r="G146" s="12" t="s">
        <v>130</v>
      </c>
      <c r="H146" s="13" t="s">
        <v>129</v>
      </c>
      <c r="I146" s="13" t="s">
        <v>133</v>
      </c>
      <c r="J146" s="12" t="s">
        <v>359</v>
      </c>
      <c r="K146" s="12" t="s">
        <v>347</v>
      </c>
      <c r="L146" s="13" t="s">
        <v>131</v>
      </c>
      <c r="M146" s="12" t="s">
        <v>408</v>
      </c>
      <c r="N146" s="13" t="s">
        <v>388</v>
      </c>
      <c r="O146" s="13" t="s">
        <v>404</v>
      </c>
      <c r="P146" s="13" t="n">
        <v>5</v>
      </c>
      <c r="Q146" s="12" t="s">
        <v>368</v>
      </c>
      <c r="R146" s="12" t="s">
        <v>405</v>
      </c>
      <c r="S146" s="12" t="s">
        <v>352</v>
      </c>
      <c r="T146" s="12" t="s">
        <v>361</v>
      </c>
      <c r="U146" s="14"/>
      <c r="V146" s="3"/>
    </row>
    <row r="147" customFormat="false" ht="15" hidden="false" customHeight="true" outlineLevel="0" collapsed="false">
      <c r="A147" s="12" t="s">
        <v>663</v>
      </c>
      <c r="B147" s="12" t="s">
        <v>170</v>
      </c>
      <c r="C147" s="12" t="s">
        <v>218</v>
      </c>
      <c r="D147" s="12" t="s">
        <v>410</v>
      </c>
      <c r="E147" s="12" t="s">
        <v>221</v>
      </c>
      <c r="F147" s="12" t="s">
        <v>212</v>
      </c>
      <c r="G147" s="12" t="s">
        <v>130</v>
      </c>
      <c r="H147" s="13" t="s">
        <v>163</v>
      </c>
      <c r="I147" s="13" t="s">
        <v>133</v>
      </c>
      <c r="J147" s="12" t="s">
        <v>164</v>
      </c>
      <c r="K147" s="12" t="s">
        <v>347</v>
      </c>
      <c r="L147" s="13" t="s">
        <v>131</v>
      </c>
      <c r="M147" s="12" t="s">
        <v>411</v>
      </c>
      <c r="N147" s="13" t="s">
        <v>388</v>
      </c>
      <c r="O147" s="13" t="s">
        <v>350</v>
      </c>
      <c r="P147" s="13" t="n">
        <v>7</v>
      </c>
      <c r="Q147" s="12" t="s">
        <v>368</v>
      </c>
      <c r="R147" s="12" t="s">
        <v>405</v>
      </c>
      <c r="S147" s="12" t="s">
        <v>352</v>
      </c>
      <c r="T147" s="12" t="s">
        <v>361</v>
      </c>
      <c r="U147" s="14"/>
      <c r="V147" s="3"/>
    </row>
    <row r="148" customFormat="false" ht="15" hidden="false" customHeight="true" outlineLevel="0" collapsed="false">
      <c r="A148" s="12" t="s">
        <v>664</v>
      </c>
      <c r="B148" s="12" t="s">
        <v>170</v>
      </c>
      <c r="C148" s="12" t="s">
        <v>284</v>
      </c>
      <c r="D148" s="12" t="s">
        <v>532</v>
      </c>
      <c r="E148" s="12" t="s">
        <v>665</v>
      </c>
      <c r="F148" s="12" t="s">
        <v>279</v>
      </c>
      <c r="G148" s="12" t="s">
        <v>130</v>
      </c>
      <c r="H148" s="13" t="s">
        <v>163</v>
      </c>
      <c r="I148" s="13" t="s">
        <v>133</v>
      </c>
      <c r="J148" s="12" t="s">
        <v>164</v>
      </c>
      <c r="K148" s="12" t="s">
        <v>347</v>
      </c>
      <c r="L148" s="13" t="s">
        <v>131</v>
      </c>
      <c r="M148" s="12" t="s">
        <v>446</v>
      </c>
      <c r="N148" s="13" t="s">
        <v>388</v>
      </c>
      <c r="O148" s="13" t="s">
        <v>350</v>
      </c>
      <c r="P148" s="13" t="n">
        <v>3</v>
      </c>
      <c r="Q148" s="12" t="s">
        <v>368</v>
      </c>
      <c r="R148" s="12" t="s">
        <v>494</v>
      </c>
      <c r="S148" s="12" t="s">
        <v>352</v>
      </c>
      <c r="T148" s="12" t="s">
        <v>361</v>
      </c>
      <c r="U148" s="14"/>
      <c r="V148" s="3"/>
    </row>
    <row r="149" customFormat="false" ht="15" hidden="false" customHeight="true" outlineLevel="0" collapsed="false">
      <c r="A149" s="12" t="s">
        <v>666</v>
      </c>
      <c r="B149" s="12" t="s">
        <v>170</v>
      </c>
      <c r="C149" s="12" t="s">
        <v>277</v>
      </c>
      <c r="D149" s="12" t="s">
        <v>534</v>
      </c>
      <c r="E149" s="12" t="s">
        <v>667</v>
      </c>
      <c r="F149" s="12" t="s">
        <v>279</v>
      </c>
      <c r="G149" s="12" t="s">
        <v>130</v>
      </c>
      <c r="H149" s="13" t="s">
        <v>163</v>
      </c>
      <c r="I149" s="13" t="s">
        <v>133</v>
      </c>
      <c r="J149" s="12" t="s">
        <v>164</v>
      </c>
      <c r="K149" s="12" t="s">
        <v>347</v>
      </c>
      <c r="L149" s="13" t="s">
        <v>131</v>
      </c>
      <c r="M149" s="12" t="s">
        <v>446</v>
      </c>
      <c r="N149" s="13" t="s">
        <v>388</v>
      </c>
      <c r="O149" s="13" t="s">
        <v>350</v>
      </c>
      <c r="P149" s="13" t="n">
        <v>3</v>
      </c>
      <c r="Q149" s="12" t="s">
        <v>368</v>
      </c>
      <c r="R149" s="12" t="s">
        <v>536</v>
      </c>
      <c r="S149" s="12" t="s">
        <v>352</v>
      </c>
      <c r="T149" s="12" t="s">
        <v>361</v>
      </c>
      <c r="U149" s="14"/>
      <c r="V149" s="3"/>
    </row>
    <row r="150" customFormat="false" ht="15" hidden="false" customHeight="true" outlineLevel="0" collapsed="false">
      <c r="A150" s="12" t="s">
        <v>668</v>
      </c>
      <c r="B150" s="12" t="s">
        <v>170</v>
      </c>
      <c r="C150" s="12" t="s">
        <v>313</v>
      </c>
      <c r="D150" s="12" t="s">
        <v>456</v>
      </c>
      <c r="E150" s="12" t="s">
        <v>315</v>
      </c>
      <c r="F150" s="12" t="s">
        <v>249</v>
      </c>
      <c r="G150" s="12" t="s">
        <v>249</v>
      </c>
      <c r="H150" s="13" t="s">
        <v>163</v>
      </c>
      <c r="I150" s="13" t="s">
        <v>133</v>
      </c>
      <c r="J150" s="12" t="s">
        <v>164</v>
      </c>
      <c r="K150" s="12" t="s">
        <v>347</v>
      </c>
      <c r="L150" s="13" t="s">
        <v>250</v>
      </c>
      <c r="M150" s="12" t="s">
        <v>411</v>
      </c>
      <c r="N150" s="13" t="s">
        <v>388</v>
      </c>
      <c r="O150" s="13" t="s">
        <v>350</v>
      </c>
      <c r="P150" s="13" t="n">
        <v>7</v>
      </c>
      <c r="Q150" s="12" t="s">
        <v>368</v>
      </c>
      <c r="R150" s="12" t="s">
        <v>457</v>
      </c>
      <c r="S150" s="12" t="s">
        <v>352</v>
      </c>
      <c r="T150" s="12" t="s">
        <v>361</v>
      </c>
      <c r="U150" s="14"/>
      <c r="V150" s="3"/>
    </row>
    <row r="151" customFormat="false" ht="30" hidden="false" customHeight="true" outlineLevel="0" collapsed="false">
      <c r="A151" s="12" t="s">
        <v>669</v>
      </c>
      <c r="B151" s="12" t="s">
        <v>170</v>
      </c>
      <c r="C151" s="12" t="s">
        <v>319</v>
      </c>
      <c r="D151" s="12" t="s">
        <v>670</v>
      </c>
      <c r="E151" s="12" t="s">
        <v>477</v>
      </c>
      <c r="F151" s="12" t="s">
        <v>249</v>
      </c>
      <c r="G151" s="12" t="s">
        <v>249</v>
      </c>
      <c r="H151" s="13" t="s">
        <v>163</v>
      </c>
      <c r="I151" s="13" t="s">
        <v>133</v>
      </c>
      <c r="J151" s="12" t="s">
        <v>359</v>
      </c>
      <c r="K151" s="12" t="s">
        <v>347</v>
      </c>
      <c r="L151" s="13" t="s">
        <v>250</v>
      </c>
      <c r="M151" s="12" t="s">
        <v>443</v>
      </c>
      <c r="N151" s="13" t="s">
        <v>388</v>
      </c>
      <c r="O151" s="13" t="s">
        <v>404</v>
      </c>
      <c r="P151" s="13" t="n">
        <v>1</v>
      </c>
      <c r="Q151" s="12" t="s">
        <v>368</v>
      </c>
      <c r="R151" s="12" t="s">
        <v>346</v>
      </c>
      <c r="S151" s="12" t="s">
        <v>352</v>
      </c>
      <c r="T151" s="12" t="s">
        <v>361</v>
      </c>
      <c r="U151" s="14"/>
      <c r="V151" s="15" t="s">
        <v>478</v>
      </c>
    </row>
    <row r="152" customFormat="false" ht="15" hidden="false" customHeight="true" outlineLevel="0" collapsed="false">
      <c r="A152" s="12" t="s">
        <v>671</v>
      </c>
      <c r="B152" s="12" t="s">
        <v>170</v>
      </c>
      <c r="C152" s="12" t="s">
        <v>304</v>
      </c>
      <c r="D152" s="12" t="s">
        <v>302</v>
      </c>
      <c r="E152" s="12" t="s">
        <v>672</v>
      </c>
      <c r="F152" s="12" t="s">
        <v>302</v>
      </c>
      <c r="G152" s="12" t="s">
        <v>302</v>
      </c>
      <c r="H152" s="13" t="s">
        <v>163</v>
      </c>
      <c r="I152" s="13" t="s">
        <v>133</v>
      </c>
      <c r="J152" s="12" t="s">
        <v>164</v>
      </c>
      <c r="K152" s="12" t="s">
        <v>347</v>
      </c>
      <c r="L152" s="13" t="s">
        <v>250</v>
      </c>
      <c r="M152" s="12" t="s">
        <v>411</v>
      </c>
      <c r="N152" s="13" t="s">
        <v>388</v>
      </c>
      <c r="O152" s="13" t="s">
        <v>350</v>
      </c>
      <c r="P152" s="13" t="n">
        <v>7</v>
      </c>
      <c r="Q152" s="12" t="s">
        <v>368</v>
      </c>
      <c r="R152" s="12" t="s">
        <v>435</v>
      </c>
      <c r="S152" s="12" t="s">
        <v>352</v>
      </c>
      <c r="T152" s="12" t="s">
        <v>361</v>
      </c>
      <c r="U152" s="14"/>
      <c r="V152" s="15" t="s">
        <v>508</v>
      </c>
    </row>
    <row r="153" customFormat="false" ht="15" hidden="false" customHeight="true" outlineLevel="0" collapsed="false">
      <c r="A153" s="12" t="s">
        <v>673</v>
      </c>
      <c r="B153" s="12" t="s">
        <v>170</v>
      </c>
      <c r="C153" s="12" t="s">
        <v>307</v>
      </c>
      <c r="D153" s="12" t="s">
        <v>674</v>
      </c>
      <c r="E153" s="12" t="s">
        <v>675</v>
      </c>
      <c r="F153" s="12" t="s">
        <v>302</v>
      </c>
      <c r="G153" s="12" t="s">
        <v>302</v>
      </c>
      <c r="H153" s="13" t="s">
        <v>163</v>
      </c>
      <c r="I153" s="13" t="s">
        <v>133</v>
      </c>
      <c r="J153" s="12" t="s">
        <v>359</v>
      </c>
      <c r="K153" s="12" t="s">
        <v>347</v>
      </c>
      <c r="L153" s="13" t="s">
        <v>250</v>
      </c>
      <c r="M153" s="12" t="s">
        <v>443</v>
      </c>
      <c r="N153" s="13" t="s">
        <v>388</v>
      </c>
      <c r="O153" s="13" t="s">
        <v>404</v>
      </c>
      <c r="P153" s="13" t="n">
        <v>1</v>
      </c>
      <c r="Q153" s="12" t="s">
        <v>368</v>
      </c>
      <c r="R153" s="12" t="s">
        <v>435</v>
      </c>
      <c r="S153" s="12" t="s">
        <v>352</v>
      </c>
      <c r="T153" s="12" t="s">
        <v>361</v>
      </c>
      <c r="U153" s="14"/>
      <c r="V153" s="15" t="s">
        <v>508</v>
      </c>
    </row>
    <row r="154" customFormat="false" ht="15" hidden="false" customHeight="true" outlineLevel="0" collapsed="false">
      <c r="A154" s="12" t="s">
        <v>676</v>
      </c>
      <c r="B154" s="12" t="s">
        <v>170</v>
      </c>
      <c r="C154" s="12" t="s">
        <v>322</v>
      </c>
      <c r="D154" s="12" t="s">
        <v>324</v>
      </c>
      <c r="E154" s="12" t="s">
        <v>325</v>
      </c>
      <c r="F154" s="12" t="s">
        <v>324</v>
      </c>
      <c r="G154" s="12" t="s">
        <v>324</v>
      </c>
      <c r="H154" s="13" t="s">
        <v>163</v>
      </c>
      <c r="I154" s="13" t="s">
        <v>133</v>
      </c>
      <c r="J154" s="12" t="s">
        <v>164</v>
      </c>
      <c r="K154" s="12" t="s">
        <v>347</v>
      </c>
      <c r="L154" s="13" t="s">
        <v>250</v>
      </c>
      <c r="M154" s="12" t="s">
        <v>411</v>
      </c>
      <c r="N154" s="13" t="s">
        <v>388</v>
      </c>
      <c r="O154" s="13" t="s">
        <v>350</v>
      </c>
      <c r="P154" s="13" t="n">
        <v>7</v>
      </c>
      <c r="Q154" s="12" t="s">
        <v>368</v>
      </c>
      <c r="R154" s="12" t="s">
        <v>677</v>
      </c>
      <c r="S154" s="12" t="s">
        <v>352</v>
      </c>
      <c r="T154" s="12" t="s">
        <v>361</v>
      </c>
      <c r="U154" s="14"/>
      <c r="V154" s="3"/>
    </row>
    <row r="155" customFormat="false" ht="15" hidden="false" customHeight="true" outlineLevel="0" collapsed="false">
      <c r="A155" s="12" t="s">
        <v>678</v>
      </c>
      <c r="B155" s="12" t="s">
        <v>170</v>
      </c>
      <c r="C155" s="12" t="s">
        <v>167</v>
      </c>
      <c r="D155" s="12" t="s">
        <v>679</v>
      </c>
      <c r="E155" s="12" t="s">
        <v>171</v>
      </c>
      <c r="F155" s="12" t="s">
        <v>128</v>
      </c>
      <c r="G155" s="12" t="s">
        <v>169</v>
      </c>
      <c r="H155" s="13" t="s">
        <v>129</v>
      </c>
      <c r="I155" s="13" t="s">
        <v>158</v>
      </c>
      <c r="J155" s="12" t="s">
        <v>164</v>
      </c>
      <c r="K155" s="12" t="s">
        <v>347</v>
      </c>
      <c r="L155" s="13" t="s">
        <v>131</v>
      </c>
      <c r="M155" s="12" t="s">
        <v>411</v>
      </c>
      <c r="N155" s="13" t="s">
        <v>388</v>
      </c>
      <c r="O155" s="13" t="s">
        <v>350</v>
      </c>
      <c r="P155" s="13" t="n">
        <v>7</v>
      </c>
      <c r="Q155" s="12" t="s">
        <v>368</v>
      </c>
      <c r="R155" s="12" t="s">
        <v>680</v>
      </c>
      <c r="S155" s="12" t="s">
        <v>352</v>
      </c>
      <c r="T155" s="12" t="s">
        <v>361</v>
      </c>
      <c r="U155" s="14"/>
      <c r="V155" s="3"/>
    </row>
    <row r="156" customFormat="false" ht="15" hidden="false" customHeight="true" outlineLevel="0" collapsed="false">
      <c r="A156" s="12" t="s">
        <v>681</v>
      </c>
      <c r="B156" s="12" t="s">
        <v>170</v>
      </c>
      <c r="C156" s="12" t="s">
        <v>185</v>
      </c>
      <c r="D156" s="12" t="s">
        <v>516</v>
      </c>
      <c r="E156" s="12" t="s">
        <v>190</v>
      </c>
      <c r="F156" s="12" t="s">
        <v>187</v>
      </c>
      <c r="G156" s="12" t="s">
        <v>130</v>
      </c>
      <c r="H156" s="13" t="s">
        <v>129</v>
      </c>
      <c r="I156" s="13" t="s">
        <v>133</v>
      </c>
      <c r="J156" s="12" t="s">
        <v>359</v>
      </c>
      <c r="K156" s="12" t="s">
        <v>347</v>
      </c>
      <c r="L156" s="13" t="s">
        <v>188</v>
      </c>
      <c r="M156" s="12" t="s">
        <v>348</v>
      </c>
      <c r="N156" s="13" t="s">
        <v>349</v>
      </c>
      <c r="O156" s="13" t="s">
        <v>350</v>
      </c>
      <c r="P156" s="13" t="n">
        <v>0</v>
      </c>
      <c r="Q156" s="12" t="s">
        <v>368</v>
      </c>
      <c r="R156" s="12" t="s">
        <v>369</v>
      </c>
      <c r="S156" s="12" t="s">
        <v>352</v>
      </c>
      <c r="T156" s="12" t="s">
        <v>361</v>
      </c>
      <c r="U156" s="14"/>
      <c r="V156" s="3"/>
    </row>
    <row r="157" customFormat="false" ht="15" hidden="false" customHeight="true" outlineLevel="0" collapsed="false">
      <c r="A157" s="12" t="s">
        <v>682</v>
      </c>
      <c r="B157" s="12" t="s">
        <v>170</v>
      </c>
      <c r="C157" s="12" t="s">
        <v>191</v>
      </c>
      <c r="D157" s="12" t="s">
        <v>560</v>
      </c>
      <c r="E157" s="12" t="s">
        <v>193</v>
      </c>
      <c r="F157" s="12" t="s">
        <v>187</v>
      </c>
      <c r="G157" s="12" t="s">
        <v>130</v>
      </c>
      <c r="H157" s="13" t="s">
        <v>129</v>
      </c>
      <c r="I157" s="13" t="s">
        <v>133</v>
      </c>
      <c r="J157" s="12" t="s">
        <v>359</v>
      </c>
      <c r="K157" s="12" t="s">
        <v>347</v>
      </c>
      <c r="L157" s="13" t="s">
        <v>188</v>
      </c>
      <c r="M157" s="12" t="s">
        <v>348</v>
      </c>
      <c r="N157" s="13" t="s">
        <v>349</v>
      </c>
      <c r="O157" s="13" t="s">
        <v>350</v>
      </c>
      <c r="P157" s="13" t="n">
        <v>0</v>
      </c>
      <c r="Q157" s="12" t="s">
        <v>368</v>
      </c>
      <c r="R157" s="12" t="s">
        <v>369</v>
      </c>
      <c r="S157" s="12" t="s">
        <v>352</v>
      </c>
      <c r="T157" s="12" t="s">
        <v>361</v>
      </c>
      <c r="U157" s="14"/>
      <c r="V157" s="3"/>
    </row>
    <row r="158" customFormat="false" ht="15" hidden="false" customHeight="true" outlineLevel="0" collapsed="false">
      <c r="A158" s="12" t="s">
        <v>683</v>
      </c>
      <c r="B158" s="12" t="s">
        <v>170</v>
      </c>
      <c r="C158" s="12" t="s">
        <v>201</v>
      </c>
      <c r="D158" s="12" t="s">
        <v>377</v>
      </c>
      <c r="E158" s="12" t="s">
        <v>203</v>
      </c>
      <c r="F158" s="12" t="s">
        <v>187</v>
      </c>
      <c r="G158" s="12" t="s">
        <v>130</v>
      </c>
      <c r="H158" s="13" t="s">
        <v>129</v>
      </c>
      <c r="I158" s="13" t="s">
        <v>133</v>
      </c>
      <c r="J158" s="12" t="s">
        <v>359</v>
      </c>
      <c r="K158" s="12" t="s">
        <v>347</v>
      </c>
      <c r="L158" s="13" t="s">
        <v>188</v>
      </c>
      <c r="M158" s="12" t="s">
        <v>348</v>
      </c>
      <c r="N158" s="13" t="s">
        <v>349</v>
      </c>
      <c r="O158" s="13" t="s">
        <v>350</v>
      </c>
      <c r="P158" s="13" t="n">
        <v>0</v>
      </c>
      <c r="Q158" s="12" t="s">
        <v>368</v>
      </c>
      <c r="R158" s="12" t="s">
        <v>369</v>
      </c>
      <c r="S158" s="12" t="s">
        <v>352</v>
      </c>
      <c r="T158" s="12" t="s">
        <v>361</v>
      </c>
      <c r="U158" s="14"/>
      <c r="V158" s="3"/>
    </row>
    <row r="159" customFormat="false" ht="15" hidden="false" customHeight="true" outlineLevel="0" collapsed="false">
      <c r="A159" s="12" t="s">
        <v>684</v>
      </c>
      <c r="B159" s="12" t="s">
        <v>170</v>
      </c>
      <c r="C159" s="12" t="s">
        <v>194</v>
      </c>
      <c r="D159" s="12" t="s">
        <v>562</v>
      </c>
      <c r="E159" s="12" t="s">
        <v>196</v>
      </c>
      <c r="F159" s="12" t="s">
        <v>187</v>
      </c>
      <c r="G159" s="12" t="s">
        <v>130</v>
      </c>
      <c r="H159" s="13" t="s">
        <v>129</v>
      </c>
      <c r="I159" s="13" t="s">
        <v>133</v>
      </c>
      <c r="J159" s="12" t="s">
        <v>359</v>
      </c>
      <c r="K159" s="12" t="s">
        <v>347</v>
      </c>
      <c r="L159" s="13" t="s">
        <v>188</v>
      </c>
      <c r="M159" s="12" t="s">
        <v>348</v>
      </c>
      <c r="N159" s="13" t="s">
        <v>349</v>
      </c>
      <c r="O159" s="13" t="s">
        <v>350</v>
      </c>
      <c r="P159" s="13" t="n">
        <v>0</v>
      </c>
      <c r="Q159" s="12" t="s">
        <v>368</v>
      </c>
      <c r="R159" s="12" t="s">
        <v>369</v>
      </c>
      <c r="S159" s="12" t="s">
        <v>352</v>
      </c>
      <c r="T159" s="12" t="s">
        <v>361</v>
      </c>
      <c r="U159" s="14"/>
      <c r="V159" s="3"/>
    </row>
    <row r="160" customFormat="false" ht="15" hidden="false" customHeight="true" outlineLevel="0" collapsed="false">
      <c r="A160" s="12" t="s">
        <v>685</v>
      </c>
      <c r="B160" s="12" t="s">
        <v>170</v>
      </c>
      <c r="C160" s="12" t="s">
        <v>197</v>
      </c>
      <c r="D160" s="12" t="s">
        <v>569</v>
      </c>
      <c r="E160" s="12" t="s">
        <v>200</v>
      </c>
      <c r="F160" s="12" t="s">
        <v>187</v>
      </c>
      <c r="G160" s="12" t="s">
        <v>130</v>
      </c>
      <c r="H160" s="13" t="s">
        <v>129</v>
      </c>
      <c r="I160" s="13" t="s">
        <v>133</v>
      </c>
      <c r="J160" s="12" t="s">
        <v>359</v>
      </c>
      <c r="K160" s="12" t="s">
        <v>347</v>
      </c>
      <c r="L160" s="13" t="s">
        <v>188</v>
      </c>
      <c r="M160" s="12" t="s">
        <v>348</v>
      </c>
      <c r="N160" s="13" t="s">
        <v>349</v>
      </c>
      <c r="O160" s="13" t="s">
        <v>350</v>
      </c>
      <c r="P160" s="13" t="n">
        <v>0</v>
      </c>
      <c r="Q160" s="12" t="s">
        <v>368</v>
      </c>
      <c r="R160" s="12" t="s">
        <v>369</v>
      </c>
      <c r="S160" s="12" t="s">
        <v>352</v>
      </c>
      <c r="T160" s="12" t="s">
        <v>361</v>
      </c>
      <c r="U160" s="14"/>
      <c r="V160" s="3"/>
    </row>
    <row r="161" customFormat="false" ht="15" hidden="false" customHeight="true" outlineLevel="0" collapsed="false">
      <c r="A161" s="12" t="s">
        <v>686</v>
      </c>
      <c r="B161" s="12" t="s">
        <v>170</v>
      </c>
      <c r="C161" s="12" t="s">
        <v>207</v>
      </c>
      <c r="D161" s="12" t="s">
        <v>564</v>
      </c>
      <c r="E161" s="12" t="s">
        <v>383</v>
      </c>
      <c r="F161" s="12" t="s">
        <v>187</v>
      </c>
      <c r="G161" s="12" t="s">
        <v>130</v>
      </c>
      <c r="H161" s="13" t="s">
        <v>129</v>
      </c>
      <c r="I161" s="13" t="s">
        <v>133</v>
      </c>
      <c r="J161" s="12" t="s">
        <v>359</v>
      </c>
      <c r="K161" s="12" t="s">
        <v>347</v>
      </c>
      <c r="L161" s="13" t="s">
        <v>188</v>
      </c>
      <c r="M161" s="12" t="s">
        <v>348</v>
      </c>
      <c r="N161" s="13" t="s">
        <v>349</v>
      </c>
      <c r="O161" s="13" t="s">
        <v>350</v>
      </c>
      <c r="P161" s="13" t="n">
        <v>0</v>
      </c>
      <c r="Q161" s="12" t="s">
        <v>368</v>
      </c>
      <c r="R161" s="12" t="s">
        <v>369</v>
      </c>
      <c r="S161" s="12" t="s">
        <v>352</v>
      </c>
      <c r="T161" s="12" t="s">
        <v>361</v>
      </c>
      <c r="U161" s="14"/>
      <c r="V161" s="3"/>
    </row>
    <row r="162" customFormat="false" ht="15" hidden="false" customHeight="true" outlineLevel="0" collapsed="false">
      <c r="A162" s="12" t="s">
        <v>687</v>
      </c>
      <c r="B162" s="12" t="s">
        <v>170</v>
      </c>
      <c r="C162" s="12" t="s">
        <v>204</v>
      </c>
      <c r="D162" s="12" t="s">
        <v>567</v>
      </c>
      <c r="E162" s="12" t="s">
        <v>521</v>
      </c>
      <c r="F162" s="12" t="s">
        <v>187</v>
      </c>
      <c r="G162" s="12" t="s">
        <v>130</v>
      </c>
      <c r="H162" s="13" t="s">
        <v>129</v>
      </c>
      <c r="I162" s="13" t="s">
        <v>133</v>
      </c>
      <c r="J162" s="12" t="s">
        <v>359</v>
      </c>
      <c r="K162" s="12" t="s">
        <v>347</v>
      </c>
      <c r="L162" s="13" t="s">
        <v>188</v>
      </c>
      <c r="M162" s="12" t="s">
        <v>348</v>
      </c>
      <c r="N162" s="13" t="s">
        <v>349</v>
      </c>
      <c r="O162" s="13" t="s">
        <v>350</v>
      </c>
      <c r="P162" s="13" t="n">
        <v>0</v>
      </c>
      <c r="Q162" s="12" t="s">
        <v>368</v>
      </c>
      <c r="R162" s="12" t="s">
        <v>369</v>
      </c>
      <c r="S162" s="12" t="s">
        <v>352</v>
      </c>
      <c r="T162" s="12" t="s">
        <v>361</v>
      </c>
      <c r="U162" s="14"/>
      <c r="V162" s="3"/>
    </row>
    <row r="163" customFormat="false" ht="15" hidden="false" customHeight="true" outlineLevel="0" collapsed="false">
      <c r="A163" s="12" t="s">
        <v>688</v>
      </c>
      <c r="B163" s="12" t="s">
        <v>170</v>
      </c>
      <c r="C163" s="12" t="s">
        <v>316</v>
      </c>
      <c r="D163" s="12" t="s">
        <v>459</v>
      </c>
      <c r="E163" s="12" t="s">
        <v>318</v>
      </c>
      <c r="F163" s="12" t="s">
        <v>249</v>
      </c>
      <c r="G163" s="12" t="s">
        <v>249</v>
      </c>
      <c r="H163" s="13" t="s">
        <v>163</v>
      </c>
      <c r="I163" s="13" t="s">
        <v>133</v>
      </c>
      <c r="J163" s="12" t="s">
        <v>164</v>
      </c>
      <c r="K163" s="12" t="s">
        <v>347</v>
      </c>
      <c r="L163" s="13" t="s">
        <v>250</v>
      </c>
      <c r="M163" s="12" t="s">
        <v>411</v>
      </c>
      <c r="N163" s="13" t="s">
        <v>388</v>
      </c>
      <c r="O163" s="13" t="s">
        <v>350</v>
      </c>
      <c r="P163" s="13" t="n">
        <v>7</v>
      </c>
      <c r="Q163" s="12" t="s">
        <v>368</v>
      </c>
      <c r="R163" s="12" t="s">
        <v>457</v>
      </c>
      <c r="S163" s="12"/>
      <c r="T163" s="12"/>
      <c r="U163" s="14"/>
      <c r="V163" s="15" t="s">
        <v>439</v>
      </c>
    </row>
    <row r="164" customFormat="false" ht="30" hidden="false" customHeight="true" outlineLevel="0" collapsed="false">
      <c r="A164" s="12" t="s">
        <v>689</v>
      </c>
      <c r="B164" s="12" t="s">
        <v>170</v>
      </c>
      <c r="C164" s="12" t="s">
        <v>319</v>
      </c>
      <c r="D164" s="12" t="s">
        <v>461</v>
      </c>
      <c r="E164" s="12" t="s">
        <v>462</v>
      </c>
      <c r="F164" s="12" t="s">
        <v>249</v>
      </c>
      <c r="G164" s="12" t="s">
        <v>249</v>
      </c>
      <c r="H164" s="13" t="s">
        <v>163</v>
      </c>
      <c r="I164" s="13" t="s">
        <v>133</v>
      </c>
      <c r="J164" s="12" t="s">
        <v>359</v>
      </c>
      <c r="K164" s="12" t="s">
        <v>347</v>
      </c>
      <c r="L164" s="13" t="s">
        <v>250</v>
      </c>
      <c r="M164" s="12" t="s">
        <v>463</v>
      </c>
      <c r="N164" s="13" t="s">
        <v>388</v>
      </c>
      <c r="O164" s="13" t="s">
        <v>404</v>
      </c>
      <c r="P164" s="13" t="n">
        <v>10</v>
      </c>
      <c r="Q164" s="12" t="s">
        <v>368</v>
      </c>
      <c r="R164" s="12" t="s">
        <v>457</v>
      </c>
      <c r="S164" s="12"/>
      <c r="T164" s="12"/>
      <c r="U164" s="14"/>
      <c r="V164" s="15" t="s">
        <v>464</v>
      </c>
    </row>
    <row r="165" customFormat="false" ht="15" hidden="false" customHeight="true" outlineLevel="0" collapsed="false">
      <c r="A165" s="12" t="s">
        <v>690</v>
      </c>
      <c r="B165" s="12" t="s">
        <v>170</v>
      </c>
      <c r="C165" s="12" t="s">
        <v>310</v>
      </c>
      <c r="D165" s="12" t="s">
        <v>466</v>
      </c>
      <c r="E165" s="12" t="s">
        <v>691</v>
      </c>
      <c r="F165" s="12" t="s">
        <v>249</v>
      </c>
      <c r="G165" s="12" t="s">
        <v>249</v>
      </c>
      <c r="H165" s="13" t="s">
        <v>163</v>
      </c>
      <c r="I165" s="13" t="s">
        <v>133</v>
      </c>
      <c r="J165" s="12" t="s">
        <v>164</v>
      </c>
      <c r="K165" s="12" t="s">
        <v>347</v>
      </c>
      <c r="L165" s="13" t="s">
        <v>250</v>
      </c>
      <c r="M165" s="12" t="s">
        <v>411</v>
      </c>
      <c r="N165" s="13" t="s">
        <v>388</v>
      </c>
      <c r="O165" s="13" t="s">
        <v>350</v>
      </c>
      <c r="P165" s="13" t="n">
        <v>7</v>
      </c>
      <c r="Q165" s="12" t="s">
        <v>368</v>
      </c>
      <c r="R165" s="12" t="s">
        <v>457</v>
      </c>
      <c r="S165" s="12"/>
      <c r="T165" s="12"/>
      <c r="U165" s="14"/>
      <c r="V165" s="15" t="s">
        <v>439</v>
      </c>
    </row>
    <row r="166" customFormat="false" ht="45" hidden="false" customHeight="true" outlineLevel="0" collapsed="false">
      <c r="A166" s="12" t="s">
        <v>692</v>
      </c>
      <c r="B166" s="12" t="s">
        <v>170</v>
      </c>
      <c r="C166" s="12" t="s">
        <v>239</v>
      </c>
      <c r="D166" s="12" t="s">
        <v>469</v>
      </c>
      <c r="E166" s="12" t="s">
        <v>242</v>
      </c>
      <c r="F166" s="12" t="s">
        <v>233</v>
      </c>
      <c r="G166" s="12" t="s">
        <v>130</v>
      </c>
      <c r="H166" s="13" t="s">
        <v>163</v>
      </c>
      <c r="I166" s="13" t="s">
        <v>133</v>
      </c>
      <c r="J166" s="12" t="s">
        <v>164</v>
      </c>
      <c r="K166" s="12" t="s">
        <v>347</v>
      </c>
      <c r="L166" s="13" t="s">
        <v>234</v>
      </c>
      <c r="M166" s="12" t="s">
        <v>470</v>
      </c>
      <c r="N166" s="13" t="s">
        <v>388</v>
      </c>
      <c r="O166" s="13" t="s">
        <v>350</v>
      </c>
      <c r="P166" s="13" t="n">
        <v>25</v>
      </c>
      <c r="Q166" s="12" t="s">
        <v>368</v>
      </c>
      <c r="R166" s="12" t="s">
        <v>233</v>
      </c>
      <c r="S166" s="12"/>
      <c r="T166" s="12"/>
      <c r="U166" s="14"/>
      <c r="V166" s="15" t="s">
        <v>693</v>
      </c>
    </row>
    <row r="167" customFormat="false" ht="15" hidden="false" customHeight="true" outlineLevel="0" collapsed="false">
      <c r="A167" s="12" t="s">
        <v>694</v>
      </c>
      <c r="B167" s="12" t="s">
        <v>170</v>
      </c>
      <c r="C167" s="12" t="s">
        <v>247</v>
      </c>
      <c r="D167" s="12" t="s">
        <v>472</v>
      </c>
      <c r="E167" s="12" t="s">
        <v>251</v>
      </c>
      <c r="F167" s="12" t="s">
        <v>233</v>
      </c>
      <c r="G167" s="12" t="s">
        <v>249</v>
      </c>
      <c r="H167" s="13" t="s">
        <v>163</v>
      </c>
      <c r="I167" s="13" t="s">
        <v>133</v>
      </c>
      <c r="J167" s="12" t="s">
        <v>164</v>
      </c>
      <c r="K167" s="12" t="s">
        <v>347</v>
      </c>
      <c r="L167" s="13" t="s">
        <v>250</v>
      </c>
      <c r="M167" s="12" t="s">
        <v>411</v>
      </c>
      <c r="N167" s="13" t="s">
        <v>388</v>
      </c>
      <c r="O167" s="13" t="s">
        <v>350</v>
      </c>
      <c r="P167" s="13" t="n">
        <v>7</v>
      </c>
      <c r="Q167" s="12" t="s">
        <v>368</v>
      </c>
      <c r="R167" s="12" t="s">
        <v>233</v>
      </c>
      <c r="S167" s="12"/>
      <c r="T167" s="12"/>
      <c r="U167" s="14"/>
      <c r="V167" s="15" t="s">
        <v>439</v>
      </c>
    </row>
    <row r="168" customFormat="false" ht="15" hidden="false" customHeight="true" outlineLevel="0" collapsed="false">
      <c r="A168" s="12" t="s">
        <v>695</v>
      </c>
      <c r="B168" s="12" t="s">
        <v>170</v>
      </c>
      <c r="C168" s="12" t="s">
        <v>252</v>
      </c>
      <c r="D168" s="12" t="s">
        <v>474</v>
      </c>
      <c r="E168" s="12" t="s">
        <v>254</v>
      </c>
      <c r="F168" s="12" t="s">
        <v>233</v>
      </c>
      <c r="G168" s="12" t="s">
        <v>249</v>
      </c>
      <c r="H168" s="13" t="s">
        <v>163</v>
      </c>
      <c r="I168" s="13" t="s">
        <v>133</v>
      </c>
      <c r="J168" s="12" t="s">
        <v>359</v>
      </c>
      <c r="K168" s="12" t="s">
        <v>347</v>
      </c>
      <c r="L168" s="13" t="s">
        <v>250</v>
      </c>
      <c r="M168" s="12" t="s">
        <v>463</v>
      </c>
      <c r="N168" s="13" t="s">
        <v>388</v>
      </c>
      <c r="O168" s="13" t="s">
        <v>404</v>
      </c>
      <c r="P168" s="13" t="n">
        <v>10</v>
      </c>
      <c r="Q168" s="12" t="s">
        <v>368</v>
      </c>
      <c r="R168" s="12" t="s">
        <v>233</v>
      </c>
      <c r="S168" s="12"/>
      <c r="T168" s="12"/>
      <c r="U168" s="14"/>
      <c r="V168" s="15" t="s">
        <v>439</v>
      </c>
    </row>
    <row r="169" customFormat="false" ht="15" hidden="false" customHeight="true" outlineLevel="0" collapsed="false">
      <c r="A169" s="12" t="s">
        <v>696</v>
      </c>
      <c r="B169" s="12" t="s">
        <v>170</v>
      </c>
      <c r="C169" s="12" t="s">
        <v>300</v>
      </c>
      <c r="D169" s="12" t="s">
        <v>301</v>
      </c>
      <c r="E169" s="12" t="s">
        <v>303</v>
      </c>
      <c r="F169" s="12" t="s">
        <v>302</v>
      </c>
      <c r="G169" s="12" t="s">
        <v>302</v>
      </c>
      <c r="H169" s="13" t="s">
        <v>163</v>
      </c>
      <c r="I169" s="13" t="s">
        <v>133</v>
      </c>
      <c r="J169" s="12" t="s">
        <v>164</v>
      </c>
      <c r="K169" s="12" t="s">
        <v>347</v>
      </c>
      <c r="L169" s="13" t="s">
        <v>250</v>
      </c>
      <c r="M169" s="12" t="s">
        <v>411</v>
      </c>
      <c r="N169" s="13" t="s">
        <v>388</v>
      </c>
      <c r="O169" s="13" t="s">
        <v>350</v>
      </c>
      <c r="P169" s="13" t="n">
        <v>7</v>
      </c>
      <c r="Q169" s="12" t="s">
        <v>368</v>
      </c>
      <c r="R169" s="12" t="s">
        <v>435</v>
      </c>
      <c r="S169" s="12"/>
      <c r="T169" s="12"/>
      <c r="U169" s="14"/>
      <c r="V169" s="15" t="s">
        <v>439</v>
      </c>
    </row>
    <row r="170" customFormat="false" ht="30" hidden="false" customHeight="true" outlineLevel="0" collapsed="false">
      <c r="A170" s="12" t="s">
        <v>697</v>
      </c>
      <c r="B170" s="12" t="s">
        <v>170</v>
      </c>
      <c r="C170" s="12" t="s">
        <v>304</v>
      </c>
      <c r="D170" s="12" t="s">
        <v>305</v>
      </c>
      <c r="E170" s="12" t="s">
        <v>438</v>
      </c>
      <c r="F170" s="12" t="s">
        <v>302</v>
      </c>
      <c r="G170" s="12" t="s">
        <v>302</v>
      </c>
      <c r="H170" s="13" t="s">
        <v>163</v>
      </c>
      <c r="I170" s="13" t="s">
        <v>133</v>
      </c>
      <c r="J170" s="12" t="s">
        <v>164</v>
      </c>
      <c r="K170" s="12" t="s">
        <v>347</v>
      </c>
      <c r="L170" s="13" t="s">
        <v>250</v>
      </c>
      <c r="M170" s="12" t="s">
        <v>411</v>
      </c>
      <c r="N170" s="13" t="s">
        <v>388</v>
      </c>
      <c r="O170" s="13" t="s">
        <v>350</v>
      </c>
      <c r="P170" s="13" t="n">
        <v>7</v>
      </c>
      <c r="Q170" s="12" t="s">
        <v>368</v>
      </c>
      <c r="R170" s="12" t="s">
        <v>435</v>
      </c>
      <c r="S170" s="12"/>
      <c r="T170" s="12"/>
      <c r="U170" s="14"/>
      <c r="V170" s="15" t="s">
        <v>464</v>
      </c>
    </row>
    <row r="171" customFormat="false" ht="30" hidden="false" customHeight="true" outlineLevel="0" collapsed="false">
      <c r="A171" s="12" t="s">
        <v>698</v>
      </c>
      <c r="B171" s="12" t="s">
        <v>170</v>
      </c>
      <c r="C171" s="12" t="s">
        <v>307</v>
      </c>
      <c r="D171" s="12" t="s">
        <v>699</v>
      </c>
      <c r="E171" s="12" t="s">
        <v>442</v>
      </c>
      <c r="F171" s="12" t="s">
        <v>302</v>
      </c>
      <c r="G171" s="12" t="s">
        <v>302</v>
      </c>
      <c r="H171" s="13" t="s">
        <v>163</v>
      </c>
      <c r="I171" s="13" t="s">
        <v>133</v>
      </c>
      <c r="J171" s="12" t="s">
        <v>359</v>
      </c>
      <c r="K171" s="12" t="s">
        <v>347</v>
      </c>
      <c r="L171" s="13" t="s">
        <v>250</v>
      </c>
      <c r="M171" s="12" t="s">
        <v>443</v>
      </c>
      <c r="N171" s="13" t="s">
        <v>388</v>
      </c>
      <c r="O171" s="13" t="s">
        <v>404</v>
      </c>
      <c r="P171" s="13" t="n">
        <v>1</v>
      </c>
      <c r="Q171" s="12" t="s">
        <v>368</v>
      </c>
      <c r="R171" s="12" t="s">
        <v>435</v>
      </c>
      <c r="S171" s="12"/>
      <c r="T171" s="12"/>
      <c r="U171" s="14"/>
      <c r="V171" s="15" t="s">
        <v>464</v>
      </c>
    </row>
    <row r="172" customFormat="false" ht="30" hidden="false" customHeight="true" outlineLevel="0" collapsed="false">
      <c r="A172" s="12" t="s">
        <v>700</v>
      </c>
      <c r="B172" s="12" t="s">
        <v>170</v>
      </c>
      <c r="C172" s="12" t="s">
        <v>222</v>
      </c>
      <c r="D172" s="12" t="s">
        <v>701</v>
      </c>
      <c r="E172" s="12" t="s">
        <v>702</v>
      </c>
      <c r="F172" s="12" t="s">
        <v>224</v>
      </c>
      <c r="G172" s="12" t="s">
        <v>225</v>
      </c>
      <c r="H172" s="13" t="s">
        <v>129</v>
      </c>
      <c r="I172" s="13" t="s">
        <v>133</v>
      </c>
      <c r="J172" s="12" t="s">
        <v>164</v>
      </c>
      <c r="K172" s="12" t="s">
        <v>347</v>
      </c>
      <c r="L172" s="13" t="s">
        <v>131</v>
      </c>
      <c r="M172" s="12" t="s">
        <v>348</v>
      </c>
      <c r="N172" s="13" t="s">
        <v>349</v>
      </c>
      <c r="O172" s="13" t="s">
        <v>350</v>
      </c>
      <c r="P172" s="13" t="n">
        <v>0</v>
      </c>
      <c r="Q172" s="12" t="s">
        <v>368</v>
      </c>
      <c r="R172" s="12" t="s">
        <v>225</v>
      </c>
      <c r="S172" s="12"/>
      <c r="T172" s="12"/>
      <c r="U172" s="14"/>
      <c r="V172" s="15" t="s">
        <v>703</v>
      </c>
    </row>
    <row r="173" customFormat="false" ht="30" hidden="false" customHeight="true" outlineLevel="0" collapsed="false">
      <c r="A173" s="12" t="s">
        <v>704</v>
      </c>
      <c r="B173" s="12" t="s">
        <v>170</v>
      </c>
      <c r="C173" s="12" t="s">
        <v>228</v>
      </c>
      <c r="D173" s="12" t="s">
        <v>705</v>
      </c>
      <c r="E173" s="12" t="s">
        <v>230</v>
      </c>
      <c r="F173" s="12" t="s">
        <v>224</v>
      </c>
      <c r="G173" s="12" t="s">
        <v>225</v>
      </c>
      <c r="H173" s="13" t="s">
        <v>129</v>
      </c>
      <c r="I173" s="13" t="s">
        <v>133</v>
      </c>
      <c r="J173" s="12" t="s">
        <v>359</v>
      </c>
      <c r="K173" s="12" t="s">
        <v>347</v>
      </c>
      <c r="L173" s="13" t="s">
        <v>131</v>
      </c>
      <c r="M173" s="12" t="s">
        <v>443</v>
      </c>
      <c r="N173" s="13" t="s">
        <v>388</v>
      </c>
      <c r="O173" s="13" t="s">
        <v>404</v>
      </c>
      <c r="P173" s="13" t="n">
        <v>1</v>
      </c>
      <c r="Q173" s="12" t="s">
        <v>368</v>
      </c>
      <c r="R173" s="12" t="s">
        <v>225</v>
      </c>
      <c r="S173" s="12"/>
      <c r="T173" s="12"/>
      <c r="U173" s="14"/>
      <c r="V173" s="15" t="s">
        <v>703</v>
      </c>
    </row>
    <row r="174" customFormat="false" ht="75" hidden="false" customHeight="true" outlineLevel="0" collapsed="false">
      <c r="A174" s="12" t="s">
        <v>706</v>
      </c>
      <c r="B174" s="12" t="s">
        <v>170</v>
      </c>
      <c r="C174" s="12" t="s">
        <v>260</v>
      </c>
      <c r="D174" s="12" t="s">
        <v>583</v>
      </c>
      <c r="E174" s="12" t="s">
        <v>263</v>
      </c>
      <c r="F174" s="12" t="s">
        <v>257</v>
      </c>
      <c r="G174" s="12" t="s">
        <v>130</v>
      </c>
      <c r="H174" s="13" t="s">
        <v>129</v>
      </c>
      <c r="I174" s="13" t="s">
        <v>133</v>
      </c>
      <c r="J174" s="12" t="s">
        <v>164</v>
      </c>
      <c r="K174" s="12" t="s">
        <v>347</v>
      </c>
      <c r="L174" s="13" t="s">
        <v>234</v>
      </c>
      <c r="M174" s="12" t="s">
        <v>387</v>
      </c>
      <c r="N174" s="13" t="s">
        <v>388</v>
      </c>
      <c r="O174" s="13" t="s">
        <v>350</v>
      </c>
      <c r="P174" s="13" t="n">
        <v>20</v>
      </c>
      <c r="Q174" s="12" t="s">
        <v>368</v>
      </c>
      <c r="R174" s="12" t="s">
        <v>225</v>
      </c>
      <c r="S174" s="12"/>
      <c r="T174" s="12"/>
      <c r="U174" s="14"/>
      <c r="V174" s="15" t="s">
        <v>707</v>
      </c>
    </row>
    <row r="175" customFormat="false" ht="60" hidden="false" customHeight="true" outlineLevel="0" collapsed="false">
      <c r="A175" s="12" t="s">
        <v>708</v>
      </c>
      <c r="B175" s="12" t="s">
        <v>170</v>
      </c>
      <c r="C175" s="12" t="s">
        <v>264</v>
      </c>
      <c r="D175" s="12" t="s">
        <v>709</v>
      </c>
      <c r="E175" s="12" t="s">
        <v>266</v>
      </c>
      <c r="F175" s="12" t="s">
        <v>257</v>
      </c>
      <c r="G175" s="12" t="s">
        <v>130</v>
      </c>
      <c r="H175" s="13" t="s">
        <v>129</v>
      </c>
      <c r="I175" s="13" t="s">
        <v>133</v>
      </c>
      <c r="J175" s="12" t="s">
        <v>359</v>
      </c>
      <c r="K175" s="12" t="s">
        <v>347</v>
      </c>
      <c r="L175" s="13" t="s">
        <v>234</v>
      </c>
      <c r="M175" s="12" t="s">
        <v>399</v>
      </c>
      <c r="N175" s="13" t="s">
        <v>388</v>
      </c>
      <c r="O175" s="13" t="s">
        <v>350</v>
      </c>
      <c r="P175" s="13" t="n">
        <v>30</v>
      </c>
      <c r="Q175" s="12" t="s">
        <v>368</v>
      </c>
      <c r="R175" s="12" t="s">
        <v>225</v>
      </c>
      <c r="S175" s="12"/>
      <c r="T175" s="12"/>
      <c r="U175" s="14"/>
      <c r="V175" s="15" t="s">
        <v>710</v>
      </c>
    </row>
    <row r="176" customFormat="false" ht="75" hidden="false" customHeight="true" outlineLevel="0" collapsed="false">
      <c r="A176" s="12" t="s">
        <v>711</v>
      </c>
      <c r="B176" s="12" t="s">
        <v>170</v>
      </c>
      <c r="C176" s="12" t="s">
        <v>231</v>
      </c>
      <c r="D176" s="12" t="s">
        <v>385</v>
      </c>
      <c r="E176" s="12" t="s">
        <v>386</v>
      </c>
      <c r="F176" s="12" t="s">
        <v>233</v>
      </c>
      <c r="G176" s="12" t="s">
        <v>130</v>
      </c>
      <c r="H176" s="13" t="s">
        <v>129</v>
      </c>
      <c r="I176" s="13" t="s">
        <v>133</v>
      </c>
      <c r="J176" s="12" t="s">
        <v>164</v>
      </c>
      <c r="K176" s="12" t="s">
        <v>347</v>
      </c>
      <c r="L176" s="13" t="s">
        <v>234</v>
      </c>
      <c r="M176" s="12" t="s">
        <v>387</v>
      </c>
      <c r="N176" s="13" t="s">
        <v>388</v>
      </c>
      <c r="O176" s="13" t="s">
        <v>350</v>
      </c>
      <c r="P176" s="13" t="n">
        <v>20</v>
      </c>
      <c r="Q176" s="12" t="s">
        <v>368</v>
      </c>
      <c r="R176" s="12" t="s">
        <v>225</v>
      </c>
      <c r="S176" s="12"/>
      <c r="T176" s="12"/>
      <c r="U176" s="14"/>
      <c r="V176" s="15" t="s">
        <v>707</v>
      </c>
    </row>
    <row r="177" customFormat="false" ht="45" hidden="false" customHeight="true" outlineLevel="0" collapsed="false">
      <c r="A177" s="12" t="s">
        <v>712</v>
      </c>
      <c r="B177" s="12" t="s">
        <v>170</v>
      </c>
      <c r="C177" s="12" t="s">
        <v>236</v>
      </c>
      <c r="D177" s="12" t="s">
        <v>713</v>
      </c>
      <c r="E177" s="12" t="s">
        <v>238</v>
      </c>
      <c r="F177" s="12" t="s">
        <v>233</v>
      </c>
      <c r="G177" s="12" t="s">
        <v>130</v>
      </c>
      <c r="H177" s="13" t="s">
        <v>129</v>
      </c>
      <c r="I177" s="13" t="s">
        <v>133</v>
      </c>
      <c r="J177" s="12" t="s">
        <v>359</v>
      </c>
      <c r="K177" s="12" t="s">
        <v>347</v>
      </c>
      <c r="L177" s="13" t="s">
        <v>234</v>
      </c>
      <c r="M177" s="12" t="s">
        <v>714</v>
      </c>
      <c r="N177" s="13" t="s">
        <v>388</v>
      </c>
      <c r="O177" s="13" t="s">
        <v>350</v>
      </c>
      <c r="P177" s="13" t="n">
        <v>21</v>
      </c>
      <c r="Q177" s="12" t="s">
        <v>368</v>
      </c>
      <c r="R177" s="12" t="s">
        <v>233</v>
      </c>
      <c r="S177" s="12"/>
      <c r="T177" s="12"/>
      <c r="U177" s="14"/>
      <c r="V177" s="15" t="s">
        <v>715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1"/>
    <col collapsed="false" customWidth="true" hidden="false" outlineLevel="0" max="3" min="3" style="0" width="28"/>
    <col collapsed="false" customWidth="true" hidden="false" outlineLevel="0" max="4" min="4" style="0" width="34"/>
    <col collapsed="false" customWidth="true" hidden="false" outlineLevel="0" max="5" min="5" style="0" width="70"/>
    <col collapsed="false" customWidth="true" hidden="false" outlineLevel="0" max="6" min="6" style="0" width="12"/>
  </cols>
  <sheetData>
    <row r="1" customFormat="false" ht="15" hidden="false" customHeight="false" outlineLevel="0" collapsed="false">
      <c r="A1" s="8" t="s">
        <v>31</v>
      </c>
      <c r="B1" s="8" t="s">
        <v>326</v>
      </c>
      <c r="C1" s="8" t="s">
        <v>115</v>
      </c>
      <c r="D1" s="8" t="s">
        <v>328</v>
      </c>
      <c r="E1" s="8" t="s">
        <v>716</v>
      </c>
      <c r="F1" s="8" t="s">
        <v>717</v>
      </c>
    </row>
    <row r="2" customFormat="false" ht="15" hidden="false" customHeight="false" outlineLevel="0" collapsed="false">
      <c r="A2" s="3" t="s">
        <v>362</v>
      </c>
      <c r="B2" s="3" t="s">
        <v>343</v>
      </c>
      <c r="C2" s="3" t="s">
        <v>172</v>
      </c>
      <c r="D2" s="3" t="s">
        <v>364</v>
      </c>
      <c r="E2" s="15" t="s">
        <v>365</v>
      </c>
      <c r="F2" s="11"/>
    </row>
    <row r="3" customFormat="false" ht="23.85" hidden="false" customHeight="false" outlineLevel="0" collapsed="false">
      <c r="A3" s="3" t="s">
        <v>384</v>
      </c>
      <c r="B3" s="3" t="s">
        <v>343</v>
      </c>
      <c r="C3" s="3" t="s">
        <v>231</v>
      </c>
      <c r="D3" s="3" t="s">
        <v>386</v>
      </c>
      <c r="E3" s="15" t="s">
        <v>389</v>
      </c>
      <c r="F3" s="11"/>
    </row>
    <row r="4" customFormat="false" ht="15" hidden="false" customHeight="false" outlineLevel="0" collapsed="false">
      <c r="A4" s="3" t="s">
        <v>397</v>
      </c>
      <c r="B4" s="3" t="s">
        <v>343</v>
      </c>
      <c r="C4" s="3" t="s">
        <v>264</v>
      </c>
      <c r="D4" s="3" t="s">
        <v>266</v>
      </c>
      <c r="E4" s="15" t="s">
        <v>400</v>
      </c>
      <c r="F4" s="11"/>
    </row>
    <row r="5" customFormat="false" ht="15" hidden="false" customHeight="false" outlineLevel="0" collapsed="false">
      <c r="A5" s="3" t="s">
        <v>418</v>
      </c>
      <c r="B5" s="3" t="s">
        <v>151</v>
      </c>
      <c r="C5" s="3" t="s">
        <v>172</v>
      </c>
      <c r="D5" s="3" t="s">
        <v>364</v>
      </c>
      <c r="E5" s="15" t="s">
        <v>365</v>
      </c>
      <c r="F5" s="11"/>
    </row>
    <row r="6" customFormat="false" ht="15" hidden="false" customHeight="false" outlineLevel="0" collapsed="false">
      <c r="A6" s="3" t="s">
        <v>423</v>
      </c>
      <c r="B6" s="3" t="s">
        <v>151</v>
      </c>
      <c r="C6" s="3" t="s">
        <v>243</v>
      </c>
      <c r="D6" s="3" t="s">
        <v>425</v>
      </c>
      <c r="E6" s="15" t="s">
        <v>427</v>
      </c>
      <c r="F6" s="11"/>
    </row>
    <row r="7" customFormat="false" ht="23.85" hidden="false" customHeight="false" outlineLevel="0" collapsed="false">
      <c r="A7" s="3" t="s">
        <v>431</v>
      </c>
      <c r="B7" s="3" t="s">
        <v>151</v>
      </c>
      <c r="C7" s="3" t="s">
        <v>274</v>
      </c>
      <c r="D7" s="3" t="s">
        <v>276</v>
      </c>
      <c r="E7" s="15" t="s">
        <v>400</v>
      </c>
      <c r="F7" s="11"/>
    </row>
    <row r="8" customFormat="false" ht="23.85" hidden="false" customHeight="false" outlineLevel="0" collapsed="false">
      <c r="A8" s="3" t="s">
        <v>431</v>
      </c>
      <c r="B8" s="3" t="s">
        <v>151</v>
      </c>
      <c r="C8" s="3" t="s">
        <v>274</v>
      </c>
      <c r="D8" s="3" t="s">
        <v>276</v>
      </c>
      <c r="E8" s="15" t="s">
        <v>427</v>
      </c>
      <c r="F8" s="11"/>
    </row>
    <row r="9" customFormat="false" ht="15" hidden="false" customHeight="false" outlineLevel="0" collapsed="false">
      <c r="A9" s="3" t="s">
        <v>434</v>
      </c>
      <c r="B9" s="3" t="s">
        <v>151</v>
      </c>
      <c r="C9" s="3" t="s">
        <v>300</v>
      </c>
      <c r="D9" s="3" t="s">
        <v>303</v>
      </c>
      <c r="E9" s="15" t="s">
        <v>436</v>
      </c>
      <c r="F9" s="11"/>
    </row>
    <row r="10" customFormat="false" ht="15" hidden="false" customHeight="false" outlineLevel="0" collapsed="false">
      <c r="A10" s="3" t="s">
        <v>437</v>
      </c>
      <c r="B10" s="3" t="s">
        <v>151</v>
      </c>
      <c r="C10" s="3" t="s">
        <v>304</v>
      </c>
      <c r="D10" s="3" t="s">
        <v>438</v>
      </c>
      <c r="E10" s="15" t="s">
        <v>436</v>
      </c>
      <c r="F10" s="11"/>
    </row>
    <row r="11" customFormat="false" ht="15" hidden="false" customHeight="false" outlineLevel="0" collapsed="false">
      <c r="A11" s="3" t="s">
        <v>437</v>
      </c>
      <c r="B11" s="3" t="s">
        <v>151</v>
      </c>
      <c r="C11" s="3" t="s">
        <v>304</v>
      </c>
      <c r="D11" s="3" t="s">
        <v>438</v>
      </c>
      <c r="E11" s="15" t="s">
        <v>502</v>
      </c>
      <c r="F11" s="11"/>
    </row>
    <row r="12" customFormat="false" ht="15" hidden="false" customHeight="false" outlineLevel="0" collapsed="false">
      <c r="A12" s="3" t="s">
        <v>444</v>
      </c>
      <c r="B12" s="3" t="s">
        <v>151</v>
      </c>
      <c r="C12" s="3" t="s">
        <v>291</v>
      </c>
      <c r="D12" s="3" t="s">
        <v>293</v>
      </c>
      <c r="E12" s="15" t="s">
        <v>400</v>
      </c>
      <c r="F12" s="11"/>
    </row>
    <row r="13" customFormat="false" ht="15" hidden="false" customHeight="false" outlineLevel="0" collapsed="false">
      <c r="A13" s="3" t="s">
        <v>448</v>
      </c>
      <c r="B13" s="3" t="s">
        <v>151</v>
      </c>
      <c r="C13" s="3" t="s">
        <v>297</v>
      </c>
      <c r="D13" s="3" t="s">
        <v>299</v>
      </c>
      <c r="E13" s="15" t="s">
        <v>502</v>
      </c>
      <c r="F13" s="11"/>
    </row>
    <row r="14" customFormat="false" ht="15" hidden="false" customHeight="false" outlineLevel="0" collapsed="false">
      <c r="A14" s="3" t="s">
        <v>448</v>
      </c>
      <c r="B14" s="3" t="s">
        <v>151</v>
      </c>
      <c r="C14" s="3" t="s">
        <v>297</v>
      </c>
      <c r="D14" s="3" t="s">
        <v>299</v>
      </c>
      <c r="E14" s="15" t="s">
        <v>718</v>
      </c>
      <c r="F14" s="11"/>
    </row>
    <row r="15" customFormat="false" ht="15" hidden="false" customHeight="false" outlineLevel="0" collapsed="false">
      <c r="A15" s="3" t="s">
        <v>451</v>
      </c>
      <c r="B15" s="3" t="s">
        <v>151</v>
      </c>
      <c r="C15" s="3" t="s">
        <v>294</v>
      </c>
      <c r="D15" s="3" t="s">
        <v>452</v>
      </c>
      <c r="E15" s="15" t="s">
        <v>719</v>
      </c>
      <c r="F15" s="11"/>
    </row>
    <row r="16" customFormat="false" ht="15" hidden="false" customHeight="false" outlineLevel="0" collapsed="false">
      <c r="A16" s="3" t="s">
        <v>451</v>
      </c>
      <c r="B16" s="3" t="s">
        <v>151</v>
      </c>
      <c r="C16" s="3" t="s">
        <v>294</v>
      </c>
      <c r="D16" s="3" t="s">
        <v>452</v>
      </c>
      <c r="E16" s="15" t="s">
        <v>720</v>
      </c>
      <c r="F16" s="11"/>
    </row>
    <row r="17" customFormat="false" ht="15" hidden="false" customHeight="false" outlineLevel="0" collapsed="false">
      <c r="A17" s="3" t="s">
        <v>451</v>
      </c>
      <c r="B17" s="3" t="s">
        <v>151</v>
      </c>
      <c r="C17" s="3" t="s">
        <v>294</v>
      </c>
      <c r="D17" s="3" t="s">
        <v>452</v>
      </c>
      <c r="E17" s="15" t="s">
        <v>436</v>
      </c>
      <c r="F17" s="11"/>
    </row>
    <row r="18" customFormat="false" ht="15" hidden="false" customHeight="false" outlineLevel="0" collapsed="false">
      <c r="A18" s="3" t="s">
        <v>451</v>
      </c>
      <c r="B18" s="3" t="s">
        <v>151</v>
      </c>
      <c r="C18" s="3" t="s">
        <v>294</v>
      </c>
      <c r="D18" s="3" t="s">
        <v>452</v>
      </c>
      <c r="E18" s="15" t="s">
        <v>502</v>
      </c>
      <c r="F18" s="11"/>
    </row>
    <row r="19" customFormat="false" ht="15" hidden="false" customHeight="false" outlineLevel="0" collapsed="false">
      <c r="A19" s="3" t="s">
        <v>451</v>
      </c>
      <c r="B19" s="3" t="s">
        <v>151</v>
      </c>
      <c r="C19" s="3" t="s">
        <v>294</v>
      </c>
      <c r="D19" s="3" t="s">
        <v>452</v>
      </c>
      <c r="E19" s="15" t="s">
        <v>721</v>
      </c>
      <c r="F19" s="11"/>
    </row>
    <row r="20" customFormat="false" ht="15" hidden="false" customHeight="false" outlineLevel="0" collapsed="false">
      <c r="A20" s="3" t="s">
        <v>458</v>
      </c>
      <c r="B20" s="3" t="s">
        <v>151</v>
      </c>
      <c r="C20" s="3" t="s">
        <v>316</v>
      </c>
      <c r="D20" s="3" t="s">
        <v>318</v>
      </c>
      <c r="E20" s="15" t="s">
        <v>436</v>
      </c>
      <c r="F20" s="11"/>
    </row>
    <row r="21" customFormat="false" ht="15" hidden="false" customHeight="false" outlineLevel="0" collapsed="false">
      <c r="A21" s="3" t="s">
        <v>458</v>
      </c>
      <c r="B21" s="3" t="s">
        <v>151</v>
      </c>
      <c r="C21" s="3" t="s">
        <v>316</v>
      </c>
      <c r="D21" s="3" t="s">
        <v>318</v>
      </c>
      <c r="E21" s="15" t="s">
        <v>502</v>
      </c>
      <c r="F21" s="11"/>
    </row>
    <row r="22" customFormat="false" ht="15" hidden="false" customHeight="false" outlineLevel="0" collapsed="false">
      <c r="A22" s="3" t="s">
        <v>460</v>
      </c>
      <c r="B22" s="3" t="s">
        <v>151</v>
      </c>
      <c r="C22" s="3" t="s">
        <v>319</v>
      </c>
      <c r="D22" s="3" t="s">
        <v>462</v>
      </c>
      <c r="E22" s="15" t="s">
        <v>508</v>
      </c>
      <c r="F22" s="11"/>
    </row>
    <row r="23" customFormat="false" ht="15" hidden="false" customHeight="false" outlineLevel="0" collapsed="false">
      <c r="A23" s="3" t="s">
        <v>460</v>
      </c>
      <c r="B23" s="3" t="s">
        <v>151</v>
      </c>
      <c r="C23" s="3" t="s">
        <v>319</v>
      </c>
      <c r="D23" s="3" t="s">
        <v>462</v>
      </c>
      <c r="E23" s="15" t="s">
        <v>436</v>
      </c>
      <c r="F23" s="11"/>
    </row>
    <row r="24" customFormat="false" ht="15" hidden="false" customHeight="false" outlineLevel="0" collapsed="false">
      <c r="A24" s="3" t="s">
        <v>460</v>
      </c>
      <c r="B24" s="3" t="s">
        <v>151</v>
      </c>
      <c r="C24" s="3" t="s">
        <v>319</v>
      </c>
      <c r="D24" s="3" t="s">
        <v>462</v>
      </c>
      <c r="E24" s="15" t="s">
        <v>502</v>
      </c>
      <c r="F24" s="11"/>
    </row>
    <row r="25" customFormat="false" ht="15" hidden="false" customHeight="false" outlineLevel="0" collapsed="false">
      <c r="A25" s="3" t="s">
        <v>465</v>
      </c>
      <c r="B25" s="3" t="s">
        <v>151</v>
      </c>
      <c r="C25" s="3" t="s">
        <v>310</v>
      </c>
      <c r="D25" s="3" t="s">
        <v>467</v>
      </c>
      <c r="E25" s="15" t="s">
        <v>436</v>
      </c>
      <c r="F25" s="11"/>
    </row>
    <row r="26" customFormat="false" ht="15" hidden="false" customHeight="false" outlineLevel="0" collapsed="false">
      <c r="A26" s="3" t="s">
        <v>465</v>
      </c>
      <c r="B26" s="3" t="s">
        <v>151</v>
      </c>
      <c r="C26" s="3" t="s">
        <v>310</v>
      </c>
      <c r="D26" s="3" t="s">
        <v>467</v>
      </c>
      <c r="E26" s="15" t="s">
        <v>502</v>
      </c>
      <c r="F26" s="11"/>
    </row>
    <row r="27" customFormat="false" ht="15" hidden="false" customHeight="false" outlineLevel="0" collapsed="false">
      <c r="A27" s="3" t="s">
        <v>468</v>
      </c>
      <c r="B27" s="3" t="s">
        <v>151</v>
      </c>
      <c r="C27" s="3" t="s">
        <v>239</v>
      </c>
      <c r="D27" s="3" t="s">
        <v>242</v>
      </c>
      <c r="E27" s="15" t="s">
        <v>436</v>
      </c>
      <c r="F27" s="11"/>
    </row>
    <row r="28" customFormat="false" ht="15" hidden="false" customHeight="false" outlineLevel="0" collapsed="false">
      <c r="A28" s="3" t="s">
        <v>468</v>
      </c>
      <c r="B28" s="3" t="s">
        <v>151</v>
      </c>
      <c r="C28" s="3" t="s">
        <v>239</v>
      </c>
      <c r="D28" s="3" t="s">
        <v>242</v>
      </c>
      <c r="E28" s="15" t="s">
        <v>502</v>
      </c>
      <c r="F28" s="11"/>
    </row>
    <row r="29" customFormat="false" ht="15" hidden="false" customHeight="false" outlineLevel="0" collapsed="false">
      <c r="A29" s="3" t="s">
        <v>471</v>
      </c>
      <c r="B29" s="3" t="s">
        <v>151</v>
      </c>
      <c r="C29" s="3" t="s">
        <v>247</v>
      </c>
      <c r="D29" s="3" t="s">
        <v>251</v>
      </c>
      <c r="E29" s="15" t="s">
        <v>436</v>
      </c>
      <c r="F29" s="11"/>
    </row>
    <row r="30" customFormat="false" ht="15" hidden="false" customHeight="false" outlineLevel="0" collapsed="false">
      <c r="A30" s="3" t="s">
        <v>471</v>
      </c>
      <c r="B30" s="3" t="s">
        <v>151</v>
      </c>
      <c r="C30" s="3" t="s">
        <v>247</v>
      </c>
      <c r="D30" s="3" t="s">
        <v>251</v>
      </c>
      <c r="E30" s="15" t="s">
        <v>502</v>
      </c>
      <c r="F30" s="11"/>
    </row>
    <row r="31" customFormat="false" ht="23.85" hidden="false" customHeight="false" outlineLevel="0" collapsed="false">
      <c r="A31" s="3" t="s">
        <v>473</v>
      </c>
      <c r="B31" s="3" t="s">
        <v>151</v>
      </c>
      <c r="C31" s="3" t="s">
        <v>252</v>
      </c>
      <c r="D31" s="3" t="s">
        <v>254</v>
      </c>
      <c r="E31" s="15" t="s">
        <v>436</v>
      </c>
      <c r="F31" s="11"/>
    </row>
    <row r="32" customFormat="false" ht="23.85" hidden="false" customHeight="false" outlineLevel="0" collapsed="false">
      <c r="A32" s="3" t="s">
        <v>473</v>
      </c>
      <c r="B32" s="3" t="s">
        <v>151</v>
      </c>
      <c r="C32" s="3" t="s">
        <v>252</v>
      </c>
      <c r="D32" s="3" t="s">
        <v>254</v>
      </c>
      <c r="E32" s="15" t="s">
        <v>502</v>
      </c>
      <c r="F32" s="11"/>
    </row>
    <row r="33" customFormat="false" ht="15" hidden="false" customHeight="false" outlineLevel="0" collapsed="false">
      <c r="A33" s="3" t="s">
        <v>475</v>
      </c>
      <c r="B33" s="3" t="s">
        <v>151</v>
      </c>
      <c r="C33" s="3" t="s">
        <v>319</v>
      </c>
      <c r="D33" s="3" t="s">
        <v>477</v>
      </c>
      <c r="E33" s="15" t="s">
        <v>508</v>
      </c>
      <c r="F33" s="11"/>
    </row>
    <row r="34" customFormat="false" ht="15" hidden="false" customHeight="false" outlineLevel="0" collapsed="false">
      <c r="A34" s="3" t="s">
        <v>475</v>
      </c>
      <c r="B34" s="3" t="s">
        <v>151</v>
      </c>
      <c r="C34" s="3" t="s">
        <v>319</v>
      </c>
      <c r="D34" s="3" t="s">
        <v>477</v>
      </c>
      <c r="E34" s="15" t="s">
        <v>427</v>
      </c>
      <c r="F34" s="11"/>
    </row>
    <row r="35" customFormat="false" ht="15" hidden="false" customHeight="false" outlineLevel="0" collapsed="false">
      <c r="A35" s="3" t="s">
        <v>491</v>
      </c>
      <c r="B35" s="3" t="s">
        <v>151</v>
      </c>
      <c r="C35" s="3" t="s">
        <v>284</v>
      </c>
      <c r="D35" s="3" t="s">
        <v>493</v>
      </c>
      <c r="E35" s="15" t="s">
        <v>400</v>
      </c>
      <c r="F35" s="11"/>
    </row>
    <row r="36" customFormat="false" ht="15" hidden="false" customHeight="false" outlineLevel="0" collapsed="false">
      <c r="A36" s="3" t="s">
        <v>495</v>
      </c>
      <c r="B36" s="3" t="s">
        <v>151</v>
      </c>
      <c r="C36" s="3" t="s">
        <v>288</v>
      </c>
      <c r="D36" s="3" t="s">
        <v>496</v>
      </c>
      <c r="E36" s="15" t="s">
        <v>719</v>
      </c>
      <c r="F36" s="11"/>
    </row>
    <row r="37" customFormat="false" ht="15" hidden="false" customHeight="false" outlineLevel="0" collapsed="false">
      <c r="A37" s="3" t="s">
        <v>495</v>
      </c>
      <c r="B37" s="3" t="s">
        <v>151</v>
      </c>
      <c r="C37" s="3" t="s">
        <v>288</v>
      </c>
      <c r="D37" s="3" t="s">
        <v>496</v>
      </c>
      <c r="E37" s="15" t="s">
        <v>720</v>
      </c>
      <c r="F37" s="11"/>
    </row>
    <row r="38" customFormat="false" ht="15" hidden="false" customHeight="false" outlineLevel="0" collapsed="false">
      <c r="A38" s="3" t="s">
        <v>495</v>
      </c>
      <c r="B38" s="3" t="s">
        <v>151</v>
      </c>
      <c r="C38" s="3" t="s">
        <v>288</v>
      </c>
      <c r="D38" s="3" t="s">
        <v>496</v>
      </c>
      <c r="E38" s="15" t="s">
        <v>436</v>
      </c>
      <c r="F38" s="11"/>
    </row>
    <row r="39" customFormat="false" ht="15" hidden="false" customHeight="false" outlineLevel="0" collapsed="false">
      <c r="A39" s="3" t="s">
        <v>495</v>
      </c>
      <c r="B39" s="3" t="s">
        <v>151</v>
      </c>
      <c r="C39" s="3" t="s">
        <v>288</v>
      </c>
      <c r="D39" s="3" t="s">
        <v>496</v>
      </c>
      <c r="E39" s="15" t="s">
        <v>502</v>
      </c>
      <c r="F39" s="11"/>
    </row>
    <row r="40" customFormat="false" ht="15" hidden="false" customHeight="false" outlineLevel="0" collapsed="false">
      <c r="A40" s="3" t="s">
        <v>495</v>
      </c>
      <c r="B40" s="3" t="s">
        <v>151</v>
      </c>
      <c r="C40" s="3" t="s">
        <v>288</v>
      </c>
      <c r="D40" s="3" t="s">
        <v>496</v>
      </c>
      <c r="E40" s="15" t="s">
        <v>721</v>
      </c>
      <c r="F40" s="11"/>
    </row>
    <row r="41" customFormat="false" ht="15" hidden="false" customHeight="false" outlineLevel="0" collapsed="false">
      <c r="A41" s="3" t="s">
        <v>497</v>
      </c>
      <c r="B41" s="3" t="s">
        <v>151</v>
      </c>
      <c r="C41" s="3" t="s">
        <v>255</v>
      </c>
      <c r="D41" s="3" t="s">
        <v>259</v>
      </c>
      <c r="E41" s="15" t="s">
        <v>400</v>
      </c>
      <c r="F41" s="11"/>
    </row>
    <row r="42" customFormat="false" ht="15" hidden="false" customHeight="false" outlineLevel="0" collapsed="false">
      <c r="A42" s="3" t="s">
        <v>499</v>
      </c>
      <c r="B42" s="3" t="s">
        <v>151</v>
      </c>
      <c r="C42" s="3" t="s">
        <v>264</v>
      </c>
      <c r="D42" s="3" t="s">
        <v>266</v>
      </c>
      <c r="E42" s="15" t="s">
        <v>502</v>
      </c>
      <c r="F42" s="11"/>
    </row>
    <row r="43" customFormat="false" ht="15" hidden="false" customHeight="false" outlineLevel="0" collapsed="false">
      <c r="A43" s="3" t="s">
        <v>505</v>
      </c>
      <c r="B43" s="3" t="s">
        <v>165</v>
      </c>
      <c r="C43" s="3" t="s">
        <v>126</v>
      </c>
      <c r="D43" s="3" t="s">
        <v>506</v>
      </c>
      <c r="E43" s="15" t="s">
        <v>508</v>
      </c>
      <c r="F43" s="11"/>
    </row>
    <row r="44" customFormat="false" ht="46.25" hidden="false" customHeight="false" outlineLevel="0" collapsed="false">
      <c r="A44" s="3" t="s">
        <v>510</v>
      </c>
      <c r="B44" s="3" t="s">
        <v>165</v>
      </c>
      <c r="C44" s="3" t="s">
        <v>126</v>
      </c>
      <c r="D44" s="3" t="s">
        <v>512</v>
      </c>
      <c r="E44" s="15" t="s">
        <v>508</v>
      </c>
      <c r="F44" s="11"/>
    </row>
    <row r="45" customFormat="false" ht="46.25" hidden="false" customHeight="false" outlineLevel="0" collapsed="false">
      <c r="A45" s="3" t="s">
        <v>510</v>
      </c>
      <c r="B45" s="3" t="s">
        <v>165</v>
      </c>
      <c r="C45" s="3" t="s">
        <v>126</v>
      </c>
      <c r="D45" s="3" t="s">
        <v>512</v>
      </c>
      <c r="E45" s="15" t="s">
        <v>365</v>
      </c>
      <c r="F45" s="11"/>
    </row>
    <row r="46" customFormat="false" ht="15" hidden="false" customHeight="false" outlineLevel="0" collapsed="false">
      <c r="A46" s="3" t="s">
        <v>517</v>
      </c>
      <c r="B46" s="3" t="s">
        <v>165</v>
      </c>
      <c r="C46" s="3" t="s">
        <v>191</v>
      </c>
      <c r="D46" s="3" t="s">
        <v>193</v>
      </c>
      <c r="E46" s="15" t="s">
        <v>508</v>
      </c>
      <c r="F46" s="11"/>
    </row>
    <row r="47" customFormat="false" ht="15" hidden="false" customHeight="false" outlineLevel="0" collapsed="false">
      <c r="A47" s="3" t="s">
        <v>525</v>
      </c>
      <c r="B47" s="3" t="s">
        <v>165</v>
      </c>
      <c r="C47" s="3" t="s">
        <v>191</v>
      </c>
      <c r="D47" s="3" t="s">
        <v>193</v>
      </c>
      <c r="E47" s="15" t="s">
        <v>508</v>
      </c>
      <c r="F47" s="11"/>
    </row>
    <row r="48" customFormat="false" ht="15" hidden="false" customHeight="false" outlineLevel="0" collapsed="false">
      <c r="A48" s="3" t="s">
        <v>539</v>
      </c>
      <c r="B48" s="3" t="s">
        <v>165</v>
      </c>
      <c r="C48" s="3" t="s">
        <v>264</v>
      </c>
      <c r="D48" s="3" t="s">
        <v>266</v>
      </c>
      <c r="E48" s="15" t="s">
        <v>502</v>
      </c>
      <c r="F48" s="11"/>
    </row>
    <row r="49" customFormat="false" ht="23.85" hidden="false" customHeight="false" outlineLevel="0" collapsed="false">
      <c r="A49" s="3" t="s">
        <v>540</v>
      </c>
      <c r="B49" s="3" t="s">
        <v>165</v>
      </c>
      <c r="C49" s="3" t="s">
        <v>231</v>
      </c>
      <c r="D49" s="3" t="s">
        <v>386</v>
      </c>
      <c r="E49" s="15" t="s">
        <v>389</v>
      </c>
      <c r="F49" s="11"/>
    </row>
    <row r="50" customFormat="false" ht="15" hidden="false" customHeight="false" outlineLevel="0" collapsed="false">
      <c r="A50" s="3" t="s">
        <v>542</v>
      </c>
      <c r="B50" s="3" t="s">
        <v>165</v>
      </c>
      <c r="C50" s="3" t="s">
        <v>172</v>
      </c>
      <c r="D50" s="3" t="s">
        <v>364</v>
      </c>
      <c r="E50" s="15" t="s">
        <v>365</v>
      </c>
      <c r="F50" s="11"/>
    </row>
    <row r="51" customFormat="false" ht="15" hidden="false" customHeight="false" outlineLevel="0" collapsed="false">
      <c r="A51" s="3" t="s">
        <v>580</v>
      </c>
      <c r="B51" s="3" t="s">
        <v>269</v>
      </c>
      <c r="C51" s="3" t="s">
        <v>319</v>
      </c>
      <c r="D51" s="3" t="s">
        <v>477</v>
      </c>
      <c r="E51" s="15" t="s">
        <v>427</v>
      </c>
      <c r="F51" s="11"/>
    </row>
    <row r="52" customFormat="false" ht="23.85" hidden="false" customHeight="false" outlineLevel="0" collapsed="false">
      <c r="A52" s="3" t="s">
        <v>582</v>
      </c>
      <c r="B52" s="3" t="s">
        <v>269</v>
      </c>
      <c r="C52" s="3" t="s">
        <v>260</v>
      </c>
      <c r="D52" s="3" t="s">
        <v>263</v>
      </c>
      <c r="E52" s="15" t="s">
        <v>389</v>
      </c>
      <c r="F52" s="11"/>
    </row>
    <row r="53" customFormat="false" ht="15" hidden="false" customHeight="false" outlineLevel="0" collapsed="false">
      <c r="A53" s="3" t="s">
        <v>613</v>
      </c>
      <c r="B53" s="3" t="s">
        <v>269</v>
      </c>
      <c r="C53" s="3" t="s">
        <v>243</v>
      </c>
      <c r="D53" s="3" t="s">
        <v>386</v>
      </c>
      <c r="E53" s="15" t="s">
        <v>614</v>
      </c>
      <c r="F53" s="11"/>
    </row>
    <row r="54" customFormat="false" ht="15" hidden="false" customHeight="false" outlineLevel="0" collapsed="false">
      <c r="A54" s="3" t="s">
        <v>624</v>
      </c>
      <c r="B54" s="3" t="s">
        <v>180</v>
      </c>
      <c r="C54" s="3" t="s">
        <v>178</v>
      </c>
      <c r="D54" s="3" t="s">
        <v>181</v>
      </c>
      <c r="E54" s="15" t="s">
        <v>719</v>
      </c>
      <c r="F54" s="11"/>
    </row>
    <row r="55" customFormat="false" ht="15" hidden="false" customHeight="false" outlineLevel="0" collapsed="false">
      <c r="A55" s="3" t="s">
        <v>624</v>
      </c>
      <c r="B55" s="3" t="s">
        <v>180</v>
      </c>
      <c r="C55" s="3" t="s">
        <v>178</v>
      </c>
      <c r="D55" s="3" t="s">
        <v>181</v>
      </c>
      <c r="E55" s="15" t="s">
        <v>720</v>
      </c>
      <c r="F55" s="11"/>
    </row>
    <row r="56" customFormat="false" ht="15" hidden="false" customHeight="false" outlineLevel="0" collapsed="false">
      <c r="A56" s="3" t="s">
        <v>624</v>
      </c>
      <c r="B56" s="3" t="s">
        <v>180</v>
      </c>
      <c r="C56" s="3" t="s">
        <v>178</v>
      </c>
      <c r="D56" s="3" t="s">
        <v>181</v>
      </c>
      <c r="E56" s="15" t="s">
        <v>436</v>
      </c>
      <c r="F56" s="11"/>
    </row>
    <row r="57" customFormat="false" ht="15" hidden="false" customHeight="false" outlineLevel="0" collapsed="false">
      <c r="A57" s="3" t="s">
        <v>624</v>
      </c>
      <c r="B57" s="3" t="s">
        <v>180</v>
      </c>
      <c r="C57" s="3" t="s">
        <v>178</v>
      </c>
      <c r="D57" s="3" t="s">
        <v>181</v>
      </c>
      <c r="E57" s="15" t="s">
        <v>502</v>
      </c>
      <c r="F57" s="11"/>
    </row>
    <row r="58" customFormat="false" ht="15" hidden="false" customHeight="false" outlineLevel="0" collapsed="false">
      <c r="A58" s="3" t="s">
        <v>624</v>
      </c>
      <c r="B58" s="3" t="s">
        <v>180</v>
      </c>
      <c r="C58" s="3" t="s">
        <v>178</v>
      </c>
      <c r="D58" s="3" t="s">
        <v>181</v>
      </c>
      <c r="E58" s="15" t="s">
        <v>721</v>
      </c>
      <c r="F58" s="11"/>
    </row>
    <row r="59" customFormat="false" ht="15" hidden="false" customHeight="false" outlineLevel="0" collapsed="false">
      <c r="A59" s="3" t="s">
        <v>639</v>
      </c>
      <c r="B59" s="3" t="s">
        <v>633</v>
      </c>
      <c r="C59" s="3" t="s">
        <v>172</v>
      </c>
      <c r="D59" s="3" t="s">
        <v>364</v>
      </c>
      <c r="E59" s="15" t="s">
        <v>365</v>
      </c>
      <c r="F59" s="11"/>
    </row>
    <row r="60" customFormat="false" ht="15" hidden="false" customHeight="false" outlineLevel="0" collapsed="false">
      <c r="A60" s="3" t="s">
        <v>646</v>
      </c>
      <c r="B60" s="3" t="s">
        <v>633</v>
      </c>
      <c r="C60" s="3" t="s">
        <v>207</v>
      </c>
      <c r="D60" s="3" t="s">
        <v>647</v>
      </c>
      <c r="E60" s="15" t="s">
        <v>365</v>
      </c>
      <c r="F60" s="11"/>
    </row>
    <row r="61" customFormat="false" ht="15" hidden="false" customHeight="false" outlineLevel="0" collapsed="false">
      <c r="A61" s="3" t="s">
        <v>654</v>
      </c>
      <c r="B61" s="3" t="s">
        <v>170</v>
      </c>
      <c r="C61" s="3" t="s">
        <v>172</v>
      </c>
      <c r="D61" s="3" t="s">
        <v>364</v>
      </c>
      <c r="E61" s="15" t="s">
        <v>365</v>
      </c>
      <c r="F61" s="11"/>
    </row>
    <row r="62" customFormat="false" ht="15" hidden="false" customHeight="false" outlineLevel="0" collapsed="false">
      <c r="A62" s="3" t="s">
        <v>656</v>
      </c>
      <c r="B62" s="3" t="s">
        <v>170</v>
      </c>
      <c r="C62" s="3" t="s">
        <v>260</v>
      </c>
      <c r="D62" s="3" t="s">
        <v>263</v>
      </c>
      <c r="E62" s="15" t="s">
        <v>508</v>
      </c>
      <c r="F62" s="11"/>
    </row>
    <row r="63" customFormat="false" ht="15" hidden="false" customHeight="false" outlineLevel="0" collapsed="false">
      <c r="A63" s="3" t="s">
        <v>657</v>
      </c>
      <c r="B63" s="3" t="s">
        <v>170</v>
      </c>
      <c r="C63" s="3" t="s">
        <v>231</v>
      </c>
      <c r="D63" s="3" t="s">
        <v>386</v>
      </c>
      <c r="E63" s="15" t="s">
        <v>508</v>
      </c>
      <c r="F63" s="11"/>
    </row>
    <row r="64" customFormat="false" ht="15" hidden="false" customHeight="false" outlineLevel="0" collapsed="false">
      <c r="A64" s="3" t="s">
        <v>658</v>
      </c>
      <c r="B64" s="3" t="s">
        <v>170</v>
      </c>
      <c r="C64" s="3" t="s">
        <v>236</v>
      </c>
      <c r="D64" s="3" t="s">
        <v>238</v>
      </c>
      <c r="E64" s="15" t="s">
        <v>508</v>
      </c>
      <c r="F64" s="11"/>
    </row>
    <row r="65" customFormat="false" ht="15" hidden="false" customHeight="false" outlineLevel="0" collapsed="false">
      <c r="A65" s="3" t="s">
        <v>669</v>
      </c>
      <c r="B65" s="3" t="s">
        <v>170</v>
      </c>
      <c r="C65" s="3" t="s">
        <v>319</v>
      </c>
      <c r="D65" s="3" t="s">
        <v>477</v>
      </c>
      <c r="E65" s="15" t="s">
        <v>508</v>
      </c>
      <c r="F65" s="11"/>
    </row>
    <row r="66" customFormat="false" ht="15" hidden="false" customHeight="false" outlineLevel="0" collapsed="false">
      <c r="A66" s="3" t="s">
        <v>669</v>
      </c>
      <c r="B66" s="3" t="s">
        <v>170</v>
      </c>
      <c r="C66" s="3" t="s">
        <v>319</v>
      </c>
      <c r="D66" s="3" t="s">
        <v>477</v>
      </c>
      <c r="E66" s="15" t="s">
        <v>427</v>
      </c>
      <c r="F66" s="11"/>
    </row>
    <row r="67" customFormat="false" ht="15" hidden="false" customHeight="false" outlineLevel="0" collapsed="false">
      <c r="A67" s="3" t="s">
        <v>671</v>
      </c>
      <c r="B67" s="3" t="s">
        <v>170</v>
      </c>
      <c r="C67" s="3" t="s">
        <v>304</v>
      </c>
      <c r="D67" s="3" t="s">
        <v>672</v>
      </c>
      <c r="E67" s="15" t="s">
        <v>508</v>
      </c>
      <c r="F67" s="11"/>
    </row>
    <row r="68" customFormat="false" ht="15" hidden="false" customHeight="false" outlineLevel="0" collapsed="false">
      <c r="A68" s="3" t="s">
        <v>673</v>
      </c>
      <c r="B68" s="3" t="s">
        <v>170</v>
      </c>
      <c r="C68" s="3" t="s">
        <v>307</v>
      </c>
      <c r="D68" s="3" t="s">
        <v>675</v>
      </c>
      <c r="E68" s="15" t="s">
        <v>508</v>
      </c>
      <c r="F68" s="11"/>
    </row>
    <row r="69" customFormat="false" ht="15" hidden="false" customHeight="false" outlineLevel="0" collapsed="false">
      <c r="A69" s="3" t="s">
        <v>688</v>
      </c>
      <c r="B69" s="3" t="s">
        <v>170</v>
      </c>
      <c r="C69" s="3" t="s">
        <v>316</v>
      </c>
      <c r="D69" s="3" t="s">
        <v>318</v>
      </c>
      <c r="E69" s="15" t="s">
        <v>436</v>
      </c>
      <c r="F69" s="11"/>
    </row>
    <row r="70" customFormat="false" ht="15" hidden="false" customHeight="false" outlineLevel="0" collapsed="false">
      <c r="A70" s="3" t="s">
        <v>688</v>
      </c>
      <c r="B70" s="3" t="s">
        <v>170</v>
      </c>
      <c r="C70" s="3" t="s">
        <v>316</v>
      </c>
      <c r="D70" s="3" t="s">
        <v>318</v>
      </c>
      <c r="E70" s="15" t="s">
        <v>502</v>
      </c>
      <c r="F70" s="11"/>
    </row>
    <row r="71" customFormat="false" ht="15" hidden="false" customHeight="false" outlineLevel="0" collapsed="false">
      <c r="A71" s="3" t="s">
        <v>689</v>
      </c>
      <c r="B71" s="3" t="s">
        <v>170</v>
      </c>
      <c r="C71" s="3" t="s">
        <v>319</v>
      </c>
      <c r="D71" s="3" t="s">
        <v>462</v>
      </c>
      <c r="E71" s="15" t="s">
        <v>508</v>
      </c>
      <c r="F71" s="11"/>
    </row>
    <row r="72" customFormat="false" ht="15" hidden="false" customHeight="false" outlineLevel="0" collapsed="false">
      <c r="A72" s="3" t="s">
        <v>689</v>
      </c>
      <c r="B72" s="3" t="s">
        <v>170</v>
      </c>
      <c r="C72" s="3" t="s">
        <v>319</v>
      </c>
      <c r="D72" s="3" t="s">
        <v>462</v>
      </c>
      <c r="E72" s="15" t="s">
        <v>436</v>
      </c>
      <c r="F72" s="11"/>
    </row>
    <row r="73" customFormat="false" ht="15" hidden="false" customHeight="false" outlineLevel="0" collapsed="false">
      <c r="A73" s="3" t="s">
        <v>689</v>
      </c>
      <c r="B73" s="3" t="s">
        <v>170</v>
      </c>
      <c r="C73" s="3" t="s">
        <v>319</v>
      </c>
      <c r="D73" s="3" t="s">
        <v>462</v>
      </c>
      <c r="E73" s="15" t="s">
        <v>502</v>
      </c>
      <c r="F73" s="11"/>
    </row>
    <row r="74" customFormat="false" ht="15" hidden="false" customHeight="false" outlineLevel="0" collapsed="false">
      <c r="A74" s="3" t="s">
        <v>690</v>
      </c>
      <c r="B74" s="3" t="s">
        <v>170</v>
      </c>
      <c r="C74" s="3" t="s">
        <v>310</v>
      </c>
      <c r="D74" s="3" t="s">
        <v>691</v>
      </c>
      <c r="E74" s="15" t="s">
        <v>436</v>
      </c>
      <c r="F74" s="11"/>
    </row>
    <row r="75" customFormat="false" ht="15" hidden="false" customHeight="false" outlineLevel="0" collapsed="false">
      <c r="A75" s="3" t="s">
        <v>690</v>
      </c>
      <c r="B75" s="3" t="s">
        <v>170</v>
      </c>
      <c r="C75" s="3" t="s">
        <v>310</v>
      </c>
      <c r="D75" s="3" t="s">
        <v>691</v>
      </c>
      <c r="E75" s="15" t="s">
        <v>502</v>
      </c>
      <c r="F75" s="11"/>
    </row>
    <row r="76" customFormat="false" ht="23.85" hidden="false" customHeight="false" outlineLevel="0" collapsed="false">
      <c r="A76" s="3" t="s">
        <v>692</v>
      </c>
      <c r="B76" s="3" t="s">
        <v>170</v>
      </c>
      <c r="C76" s="3" t="s">
        <v>239</v>
      </c>
      <c r="D76" s="3" t="s">
        <v>242</v>
      </c>
      <c r="E76" s="15" t="s">
        <v>389</v>
      </c>
      <c r="F76" s="11"/>
    </row>
    <row r="77" customFormat="false" ht="15" hidden="false" customHeight="false" outlineLevel="0" collapsed="false">
      <c r="A77" s="3" t="s">
        <v>692</v>
      </c>
      <c r="B77" s="3" t="s">
        <v>170</v>
      </c>
      <c r="C77" s="3" t="s">
        <v>239</v>
      </c>
      <c r="D77" s="3" t="s">
        <v>242</v>
      </c>
      <c r="E77" s="15" t="s">
        <v>436</v>
      </c>
      <c r="F77" s="11"/>
    </row>
    <row r="78" customFormat="false" ht="15" hidden="false" customHeight="false" outlineLevel="0" collapsed="false">
      <c r="A78" s="3" t="s">
        <v>692</v>
      </c>
      <c r="B78" s="3" t="s">
        <v>170</v>
      </c>
      <c r="C78" s="3" t="s">
        <v>239</v>
      </c>
      <c r="D78" s="3" t="s">
        <v>242</v>
      </c>
      <c r="E78" s="15" t="s">
        <v>502</v>
      </c>
      <c r="F78" s="11"/>
    </row>
    <row r="79" customFormat="false" ht="15" hidden="false" customHeight="false" outlineLevel="0" collapsed="false">
      <c r="A79" s="3" t="s">
        <v>694</v>
      </c>
      <c r="B79" s="3" t="s">
        <v>170</v>
      </c>
      <c r="C79" s="3" t="s">
        <v>247</v>
      </c>
      <c r="D79" s="3" t="s">
        <v>251</v>
      </c>
      <c r="E79" s="15" t="s">
        <v>436</v>
      </c>
      <c r="F79" s="11"/>
    </row>
    <row r="80" customFormat="false" ht="15" hidden="false" customHeight="false" outlineLevel="0" collapsed="false">
      <c r="A80" s="3" t="s">
        <v>694</v>
      </c>
      <c r="B80" s="3" t="s">
        <v>170</v>
      </c>
      <c r="C80" s="3" t="s">
        <v>247</v>
      </c>
      <c r="D80" s="3" t="s">
        <v>251</v>
      </c>
      <c r="E80" s="15" t="s">
        <v>502</v>
      </c>
      <c r="F80" s="11"/>
    </row>
    <row r="81" customFormat="false" ht="23.85" hidden="false" customHeight="false" outlineLevel="0" collapsed="false">
      <c r="A81" s="3" t="s">
        <v>695</v>
      </c>
      <c r="B81" s="3" t="s">
        <v>170</v>
      </c>
      <c r="C81" s="3" t="s">
        <v>252</v>
      </c>
      <c r="D81" s="3" t="s">
        <v>254</v>
      </c>
      <c r="E81" s="15" t="s">
        <v>436</v>
      </c>
      <c r="F81" s="11"/>
    </row>
    <row r="82" customFormat="false" ht="23.85" hidden="false" customHeight="false" outlineLevel="0" collapsed="false">
      <c r="A82" s="3" t="s">
        <v>695</v>
      </c>
      <c r="B82" s="3" t="s">
        <v>170</v>
      </c>
      <c r="C82" s="3" t="s">
        <v>252</v>
      </c>
      <c r="D82" s="3" t="s">
        <v>254</v>
      </c>
      <c r="E82" s="15" t="s">
        <v>502</v>
      </c>
      <c r="F82" s="11"/>
    </row>
    <row r="83" customFormat="false" ht="15" hidden="false" customHeight="false" outlineLevel="0" collapsed="false">
      <c r="A83" s="3" t="s">
        <v>696</v>
      </c>
      <c r="B83" s="3" t="s">
        <v>170</v>
      </c>
      <c r="C83" s="3" t="s">
        <v>300</v>
      </c>
      <c r="D83" s="3" t="s">
        <v>303</v>
      </c>
      <c r="E83" s="15" t="s">
        <v>436</v>
      </c>
      <c r="F83" s="11"/>
    </row>
    <row r="84" customFormat="false" ht="15" hidden="false" customHeight="false" outlineLevel="0" collapsed="false">
      <c r="A84" s="3" t="s">
        <v>696</v>
      </c>
      <c r="B84" s="3" t="s">
        <v>170</v>
      </c>
      <c r="C84" s="3" t="s">
        <v>300</v>
      </c>
      <c r="D84" s="3" t="s">
        <v>303</v>
      </c>
      <c r="E84" s="15" t="s">
        <v>502</v>
      </c>
      <c r="F84" s="11"/>
    </row>
    <row r="85" customFormat="false" ht="15" hidden="false" customHeight="false" outlineLevel="0" collapsed="false">
      <c r="A85" s="3" t="s">
        <v>697</v>
      </c>
      <c r="B85" s="3" t="s">
        <v>170</v>
      </c>
      <c r="C85" s="3" t="s">
        <v>304</v>
      </c>
      <c r="D85" s="3" t="s">
        <v>438</v>
      </c>
      <c r="E85" s="15" t="s">
        <v>508</v>
      </c>
      <c r="F85" s="11"/>
    </row>
    <row r="86" customFormat="false" ht="15" hidden="false" customHeight="false" outlineLevel="0" collapsed="false">
      <c r="A86" s="3" t="s">
        <v>697</v>
      </c>
      <c r="B86" s="3" t="s">
        <v>170</v>
      </c>
      <c r="C86" s="3" t="s">
        <v>304</v>
      </c>
      <c r="D86" s="3" t="s">
        <v>438</v>
      </c>
      <c r="E86" s="15" t="s">
        <v>436</v>
      </c>
      <c r="F86" s="11"/>
    </row>
    <row r="87" customFormat="false" ht="15" hidden="false" customHeight="false" outlineLevel="0" collapsed="false">
      <c r="A87" s="3" t="s">
        <v>697</v>
      </c>
      <c r="B87" s="3" t="s">
        <v>170</v>
      </c>
      <c r="C87" s="3" t="s">
        <v>304</v>
      </c>
      <c r="D87" s="3" t="s">
        <v>438</v>
      </c>
      <c r="E87" s="15" t="s">
        <v>502</v>
      </c>
      <c r="F87" s="11"/>
    </row>
    <row r="88" customFormat="false" ht="15" hidden="false" customHeight="false" outlineLevel="0" collapsed="false">
      <c r="A88" s="3" t="s">
        <v>698</v>
      </c>
      <c r="B88" s="3" t="s">
        <v>170</v>
      </c>
      <c r="C88" s="3" t="s">
        <v>307</v>
      </c>
      <c r="D88" s="3" t="s">
        <v>442</v>
      </c>
      <c r="E88" s="15" t="s">
        <v>508</v>
      </c>
      <c r="F88" s="11"/>
    </row>
    <row r="89" customFormat="false" ht="15" hidden="false" customHeight="false" outlineLevel="0" collapsed="false">
      <c r="A89" s="3" t="s">
        <v>698</v>
      </c>
      <c r="B89" s="3" t="s">
        <v>170</v>
      </c>
      <c r="C89" s="3" t="s">
        <v>307</v>
      </c>
      <c r="D89" s="3" t="s">
        <v>442</v>
      </c>
      <c r="E89" s="15" t="s">
        <v>436</v>
      </c>
      <c r="F89" s="11"/>
    </row>
    <row r="90" customFormat="false" ht="15" hidden="false" customHeight="false" outlineLevel="0" collapsed="false">
      <c r="A90" s="3" t="s">
        <v>698</v>
      </c>
      <c r="B90" s="3" t="s">
        <v>170</v>
      </c>
      <c r="C90" s="3" t="s">
        <v>307</v>
      </c>
      <c r="D90" s="3" t="s">
        <v>442</v>
      </c>
      <c r="E90" s="15" t="s">
        <v>502</v>
      </c>
      <c r="F90" s="11"/>
    </row>
    <row r="91" customFormat="false" ht="15" hidden="false" customHeight="false" outlineLevel="0" collapsed="false">
      <c r="A91" s="3" t="s">
        <v>700</v>
      </c>
      <c r="B91" s="3" t="s">
        <v>170</v>
      </c>
      <c r="C91" s="3" t="s">
        <v>222</v>
      </c>
      <c r="D91" s="3" t="s">
        <v>702</v>
      </c>
      <c r="E91" s="15" t="s">
        <v>436</v>
      </c>
      <c r="F91" s="11"/>
    </row>
    <row r="92" customFormat="false" ht="15" hidden="false" customHeight="false" outlineLevel="0" collapsed="false">
      <c r="A92" s="3" t="s">
        <v>700</v>
      </c>
      <c r="B92" s="3" t="s">
        <v>170</v>
      </c>
      <c r="C92" s="3" t="s">
        <v>222</v>
      </c>
      <c r="D92" s="3" t="s">
        <v>702</v>
      </c>
      <c r="E92" s="15" t="s">
        <v>502</v>
      </c>
      <c r="F92" s="11"/>
    </row>
    <row r="93" customFormat="false" ht="15" hidden="false" customHeight="false" outlineLevel="0" collapsed="false">
      <c r="A93" s="3" t="s">
        <v>700</v>
      </c>
      <c r="B93" s="3" t="s">
        <v>170</v>
      </c>
      <c r="C93" s="3" t="s">
        <v>222</v>
      </c>
      <c r="D93" s="3" t="s">
        <v>702</v>
      </c>
      <c r="E93" s="15" t="s">
        <v>365</v>
      </c>
      <c r="F93" s="11"/>
    </row>
    <row r="94" customFormat="false" ht="15" hidden="false" customHeight="false" outlineLevel="0" collapsed="false">
      <c r="A94" s="3" t="s">
        <v>704</v>
      </c>
      <c r="B94" s="3" t="s">
        <v>170</v>
      </c>
      <c r="C94" s="3" t="s">
        <v>228</v>
      </c>
      <c r="D94" s="3" t="s">
        <v>230</v>
      </c>
      <c r="E94" s="15" t="s">
        <v>436</v>
      </c>
      <c r="F94" s="11"/>
    </row>
    <row r="95" customFormat="false" ht="15" hidden="false" customHeight="false" outlineLevel="0" collapsed="false">
      <c r="A95" s="3" t="s">
        <v>704</v>
      </c>
      <c r="B95" s="3" t="s">
        <v>170</v>
      </c>
      <c r="C95" s="3" t="s">
        <v>228</v>
      </c>
      <c r="D95" s="3" t="s">
        <v>230</v>
      </c>
      <c r="E95" s="15" t="s">
        <v>502</v>
      </c>
      <c r="F95" s="11"/>
    </row>
    <row r="96" customFormat="false" ht="15" hidden="false" customHeight="false" outlineLevel="0" collapsed="false">
      <c r="A96" s="3" t="s">
        <v>704</v>
      </c>
      <c r="B96" s="3" t="s">
        <v>170</v>
      </c>
      <c r="C96" s="3" t="s">
        <v>228</v>
      </c>
      <c r="D96" s="3" t="s">
        <v>230</v>
      </c>
      <c r="E96" s="15" t="s">
        <v>365</v>
      </c>
      <c r="F96" s="11"/>
    </row>
    <row r="97" customFormat="false" ht="15" hidden="false" customHeight="false" outlineLevel="0" collapsed="false">
      <c r="A97" s="3" t="s">
        <v>706</v>
      </c>
      <c r="B97" s="3" t="s">
        <v>170</v>
      </c>
      <c r="C97" s="3" t="s">
        <v>260</v>
      </c>
      <c r="D97" s="3" t="s">
        <v>263</v>
      </c>
      <c r="E97" s="15" t="s">
        <v>508</v>
      </c>
      <c r="F97" s="11"/>
    </row>
    <row r="98" customFormat="false" ht="23.85" hidden="false" customHeight="false" outlineLevel="0" collapsed="false">
      <c r="A98" s="3" t="s">
        <v>706</v>
      </c>
      <c r="B98" s="3" t="s">
        <v>170</v>
      </c>
      <c r="C98" s="3" t="s">
        <v>260</v>
      </c>
      <c r="D98" s="3" t="s">
        <v>263</v>
      </c>
      <c r="E98" s="15" t="s">
        <v>389</v>
      </c>
      <c r="F98" s="11"/>
    </row>
    <row r="99" customFormat="false" ht="15" hidden="false" customHeight="false" outlineLevel="0" collapsed="false">
      <c r="A99" s="3" t="s">
        <v>706</v>
      </c>
      <c r="B99" s="3" t="s">
        <v>170</v>
      </c>
      <c r="C99" s="3" t="s">
        <v>260</v>
      </c>
      <c r="D99" s="3" t="s">
        <v>263</v>
      </c>
      <c r="E99" s="15" t="s">
        <v>436</v>
      </c>
      <c r="F99" s="11"/>
    </row>
    <row r="100" customFormat="false" ht="15" hidden="false" customHeight="false" outlineLevel="0" collapsed="false">
      <c r="A100" s="3" t="s">
        <v>706</v>
      </c>
      <c r="B100" s="3" t="s">
        <v>170</v>
      </c>
      <c r="C100" s="3" t="s">
        <v>260</v>
      </c>
      <c r="D100" s="3" t="s">
        <v>263</v>
      </c>
      <c r="E100" s="15" t="s">
        <v>502</v>
      </c>
      <c r="F100" s="11"/>
    </row>
    <row r="101" customFormat="false" ht="15" hidden="false" customHeight="false" outlineLevel="0" collapsed="false">
      <c r="A101" s="3" t="s">
        <v>706</v>
      </c>
      <c r="B101" s="3" t="s">
        <v>170</v>
      </c>
      <c r="C101" s="3" t="s">
        <v>260</v>
      </c>
      <c r="D101" s="3" t="s">
        <v>263</v>
      </c>
      <c r="E101" s="15" t="s">
        <v>722</v>
      </c>
      <c r="F101" s="11"/>
    </row>
    <row r="102" customFormat="false" ht="23.85" hidden="false" customHeight="false" outlineLevel="0" collapsed="false">
      <c r="A102" s="3" t="s">
        <v>708</v>
      </c>
      <c r="B102" s="3" t="s">
        <v>170</v>
      </c>
      <c r="C102" s="3" t="s">
        <v>264</v>
      </c>
      <c r="D102" s="3" t="s">
        <v>266</v>
      </c>
      <c r="E102" s="15" t="s">
        <v>389</v>
      </c>
      <c r="F102" s="11"/>
    </row>
    <row r="103" customFormat="false" ht="15" hidden="false" customHeight="false" outlineLevel="0" collapsed="false">
      <c r="A103" s="3" t="s">
        <v>708</v>
      </c>
      <c r="B103" s="3" t="s">
        <v>170</v>
      </c>
      <c r="C103" s="3" t="s">
        <v>264</v>
      </c>
      <c r="D103" s="3" t="s">
        <v>266</v>
      </c>
      <c r="E103" s="15" t="s">
        <v>436</v>
      </c>
      <c r="F103" s="11"/>
    </row>
    <row r="104" customFormat="false" ht="15" hidden="false" customHeight="false" outlineLevel="0" collapsed="false">
      <c r="A104" s="3" t="s">
        <v>708</v>
      </c>
      <c r="B104" s="3" t="s">
        <v>170</v>
      </c>
      <c r="C104" s="3" t="s">
        <v>264</v>
      </c>
      <c r="D104" s="3" t="s">
        <v>266</v>
      </c>
      <c r="E104" s="15" t="s">
        <v>502</v>
      </c>
      <c r="F104" s="11"/>
    </row>
    <row r="105" customFormat="false" ht="15" hidden="false" customHeight="false" outlineLevel="0" collapsed="false">
      <c r="A105" s="3" t="s">
        <v>708</v>
      </c>
      <c r="B105" s="3" t="s">
        <v>170</v>
      </c>
      <c r="C105" s="3" t="s">
        <v>264</v>
      </c>
      <c r="D105" s="3" t="s">
        <v>266</v>
      </c>
      <c r="E105" s="15" t="s">
        <v>722</v>
      </c>
      <c r="F105" s="11"/>
    </row>
    <row r="106" customFormat="false" ht="15" hidden="false" customHeight="false" outlineLevel="0" collapsed="false">
      <c r="A106" s="3" t="s">
        <v>711</v>
      </c>
      <c r="B106" s="3" t="s">
        <v>170</v>
      </c>
      <c r="C106" s="3" t="s">
        <v>231</v>
      </c>
      <c r="D106" s="3" t="s">
        <v>386</v>
      </c>
      <c r="E106" s="15" t="s">
        <v>508</v>
      </c>
      <c r="F106" s="11"/>
    </row>
    <row r="107" customFormat="false" ht="23.85" hidden="false" customHeight="false" outlineLevel="0" collapsed="false">
      <c r="A107" s="3" t="s">
        <v>711</v>
      </c>
      <c r="B107" s="3" t="s">
        <v>170</v>
      </c>
      <c r="C107" s="3" t="s">
        <v>231</v>
      </c>
      <c r="D107" s="3" t="s">
        <v>386</v>
      </c>
      <c r="E107" s="15" t="s">
        <v>389</v>
      </c>
      <c r="F107" s="11"/>
    </row>
    <row r="108" customFormat="false" ht="15" hidden="false" customHeight="false" outlineLevel="0" collapsed="false">
      <c r="A108" s="3" t="s">
        <v>711</v>
      </c>
      <c r="B108" s="3" t="s">
        <v>170</v>
      </c>
      <c r="C108" s="3" t="s">
        <v>231</v>
      </c>
      <c r="D108" s="3" t="s">
        <v>386</v>
      </c>
      <c r="E108" s="15" t="s">
        <v>436</v>
      </c>
      <c r="F108" s="11"/>
    </row>
    <row r="109" customFormat="false" ht="15" hidden="false" customHeight="false" outlineLevel="0" collapsed="false">
      <c r="A109" s="3" t="s">
        <v>711</v>
      </c>
      <c r="B109" s="3" t="s">
        <v>170</v>
      </c>
      <c r="C109" s="3" t="s">
        <v>231</v>
      </c>
      <c r="D109" s="3" t="s">
        <v>386</v>
      </c>
      <c r="E109" s="15" t="s">
        <v>502</v>
      </c>
      <c r="F109" s="11"/>
    </row>
    <row r="110" customFormat="false" ht="15" hidden="false" customHeight="false" outlineLevel="0" collapsed="false">
      <c r="A110" s="3" t="s">
        <v>711</v>
      </c>
      <c r="B110" s="3" t="s">
        <v>170</v>
      </c>
      <c r="C110" s="3" t="s">
        <v>231</v>
      </c>
      <c r="D110" s="3" t="s">
        <v>386</v>
      </c>
      <c r="E110" s="15" t="s">
        <v>722</v>
      </c>
      <c r="F110" s="11"/>
    </row>
    <row r="111" customFormat="false" ht="15" hidden="false" customHeight="false" outlineLevel="0" collapsed="false">
      <c r="A111" s="3" t="s">
        <v>712</v>
      </c>
      <c r="B111" s="3" t="s">
        <v>170</v>
      </c>
      <c r="C111" s="3" t="s">
        <v>236</v>
      </c>
      <c r="D111" s="3" t="s">
        <v>238</v>
      </c>
      <c r="E111" s="15" t="s">
        <v>508</v>
      </c>
      <c r="F111" s="11"/>
    </row>
    <row r="112" customFormat="false" ht="23.85" hidden="false" customHeight="false" outlineLevel="0" collapsed="false">
      <c r="A112" s="3" t="s">
        <v>712</v>
      </c>
      <c r="B112" s="3" t="s">
        <v>170</v>
      </c>
      <c r="C112" s="3" t="s">
        <v>236</v>
      </c>
      <c r="D112" s="3" t="s">
        <v>238</v>
      </c>
      <c r="E112" s="15" t="s">
        <v>389</v>
      </c>
      <c r="F112" s="11"/>
    </row>
    <row r="113" customFormat="false" ht="15" hidden="false" customHeight="false" outlineLevel="0" collapsed="false">
      <c r="A113" s="3" t="s">
        <v>712</v>
      </c>
      <c r="B113" s="3" t="s">
        <v>170</v>
      </c>
      <c r="C113" s="3" t="s">
        <v>236</v>
      </c>
      <c r="D113" s="3" t="s">
        <v>238</v>
      </c>
      <c r="E113" s="15" t="s">
        <v>436</v>
      </c>
      <c r="F113" s="11"/>
    </row>
    <row r="114" customFormat="false" ht="15" hidden="false" customHeight="false" outlineLevel="0" collapsed="false">
      <c r="A114" s="3" t="s">
        <v>712</v>
      </c>
      <c r="B114" s="3" t="s">
        <v>170</v>
      </c>
      <c r="C114" s="3" t="s">
        <v>236</v>
      </c>
      <c r="D114" s="3" t="s">
        <v>238</v>
      </c>
      <c r="E114" s="15" t="s">
        <v>502</v>
      </c>
      <c r="F11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9" min="2" style="0" width="12"/>
    <col collapsed="false" customWidth="true" hidden="false" outlineLevel="0" max="10" min="10" style="0" width="10"/>
  </cols>
  <sheetData>
    <row r="1" customFormat="false" ht="17.35" hidden="false" customHeight="false" outlineLevel="0" collapsed="false">
      <c r="A1" s="1" t="s">
        <v>723</v>
      </c>
    </row>
    <row r="2" customFormat="false" ht="15" hidden="false" customHeight="false" outlineLevel="0" collapsed="false">
      <c r="A2" s="16" t="s">
        <v>724</v>
      </c>
    </row>
    <row r="4" customFormat="false" ht="15" hidden="false" customHeight="false" outlineLevel="0" collapsed="false">
      <c r="A4" s="8" t="s">
        <v>117</v>
      </c>
      <c r="B4" s="8" t="s">
        <v>343</v>
      </c>
      <c r="C4" s="8" t="s">
        <v>151</v>
      </c>
      <c r="D4" s="8" t="s">
        <v>165</v>
      </c>
      <c r="E4" s="8" t="s">
        <v>548</v>
      </c>
      <c r="F4" s="8" t="s">
        <v>269</v>
      </c>
      <c r="G4" s="8" t="s">
        <v>633</v>
      </c>
      <c r="H4" s="8" t="s">
        <v>170</v>
      </c>
      <c r="I4" s="8" t="s">
        <v>180</v>
      </c>
      <c r="J4" s="8" t="s">
        <v>725</v>
      </c>
    </row>
    <row r="5" customFormat="false" ht="15" hidden="false" customHeight="false" outlineLevel="0" collapsed="false">
      <c r="A5" s="9" t="s">
        <v>224</v>
      </c>
      <c r="B5" s="12" t="n">
        <f aca="false">COUNTIFS(MATRIZ_EXIGIBILIDADE!$B$2:$B$177,"BNB",MATRIZ_EXIGIBILIDADE!$F$2:$F$177,$A5)</f>
        <v>0</v>
      </c>
      <c r="C5" s="12" t="n">
        <f aca="false">COUNTIFS(MATRIZ_EXIGIBILIDADE!$B$2:$B$177,"CEF",MATRIZ_EXIGIBILIDADE!$F$2:$F$177,$A5)</f>
        <v>1</v>
      </c>
      <c r="D5" s="12" t="n">
        <f aca="false">COUNTIFS(MATRIZ_EXIGIBILIDADE!$B$2:$B$177,"DOCAS",MATRIZ_EXIGIBILIDADE!$F$2:$F$177,$A5)</f>
        <v>0</v>
      </c>
      <c r="E5" s="12" t="n">
        <f aca="false">COUNTIFS(MATRIZ_EXIGIBILIDADE!$B$2:$B$177,"SEFAZ RS",MATRIZ_EXIGIBILIDADE!$F$2:$F$177,$A5)</f>
        <v>0</v>
      </c>
      <c r="F5" s="12" t="n">
        <f aca="false">COUNTIFS(MATRIZ_EXIGIBILIDADE!$B$2:$B$177,"SESCOOP",MATRIZ_EXIGIBILIDADE!$F$2:$F$177,$A5)</f>
        <v>0</v>
      </c>
      <c r="G5" s="12" t="n">
        <f aca="false">COUNTIFS(MATRIZ_EXIGIBILIDADE!$B$2:$B$177,"TERRACAP",MATRIZ_EXIGIBILIDADE!$F$2:$F$177,$A5)</f>
        <v>0</v>
      </c>
      <c r="H5" s="12" t="n">
        <f aca="false">COUNTIFS(MATRIZ_EXIGIBILIDADE!$B$2:$B$177,"TJ CE",MATRIZ_EXIGIBILIDADE!$F$2:$F$177,$A5)</f>
        <v>2</v>
      </c>
      <c r="I5" s="12" t="n">
        <f aca="false">COUNTIFS(MATRIZ_EXIGIBILIDADE!$B$2:$B$177,"Telebrás",MATRIZ_EXIGIBILIDADE!$F$2:$F$177,$A5)</f>
        <v>0</v>
      </c>
      <c r="J5" s="17" t="n">
        <f aca="false">SUM(B5:I5)</f>
        <v>3</v>
      </c>
    </row>
    <row r="6" customFormat="false" ht="15" hidden="false" customHeight="false" outlineLevel="0" collapsed="false">
      <c r="A6" s="9" t="s">
        <v>324</v>
      </c>
      <c r="B6" s="12" t="n">
        <f aca="false">COUNTIFS(MATRIZ_EXIGIBILIDADE!$B$2:$B$177,"BNB",MATRIZ_EXIGIBILIDADE!$F$2:$F$177,$A6)</f>
        <v>0</v>
      </c>
      <c r="C6" s="12" t="n">
        <f aca="false">COUNTIFS(MATRIZ_EXIGIBILIDADE!$B$2:$B$177,"CEF",MATRIZ_EXIGIBILIDADE!$F$2:$F$177,$A6)</f>
        <v>0</v>
      </c>
      <c r="D6" s="12" t="n">
        <f aca="false">COUNTIFS(MATRIZ_EXIGIBILIDADE!$B$2:$B$177,"DOCAS",MATRIZ_EXIGIBILIDADE!$F$2:$F$177,$A6)</f>
        <v>0</v>
      </c>
      <c r="E6" s="12" t="n">
        <f aca="false">COUNTIFS(MATRIZ_EXIGIBILIDADE!$B$2:$B$177,"SEFAZ RS",MATRIZ_EXIGIBILIDADE!$F$2:$F$177,$A6)</f>
        <v>0</v>
      </c>
      <c r="F6" s="12" t="n">
        <f aca="false">COUNTIFS(MATRIZ_EXIGIBILIDADE!$B$2:$B$177,"SESCOOP",MATRIZ_EXIGIBILIDADE!$F$2:$F$177,$A6)</f>
        <v>0</v>
      </c>
      <c r="G6" s="12" t="n">
        <f aca="false">COUNTIFS(MATRIZ_EXIGIBILIDADE!$B$2:$B$177,"TERRACAP",MATRIZ_EXIGIBILIDADE!$F$2:$F$177,$A6)</f>
        <v>0</v>
      </c>
      <c r="H6" s="12" t="n">
        <f aca="false">COUNTIFS(MATRIZ_EXIGIBILIDADE!$B$2:$B$177,"TJ CE",MATRIZ_EXIGIBILIDADE!$F$2:$F$177,$A6)</f>
        <v>1</v>
      </c>
      <c r="I6" s="12" t="n">
        <f aca="false">COUNTIFS(MATRIZ_EXIGIBILIDADE!$B$2:$B$177,"Telebrás",MATRIZ_EXIGIBILIDADE!$F$2:$F$177,$A6)</f>
        <v>0</v>
      </c>
      <c r="J6" s="17" t="n">
        <f aca="false">SUM(B6:I6)</f>
        <v>1</v>
      </c>
    </row>
    <row r="7" customFormat="false" ht="15" hidden="false" customHeight="false" outlineLevel="0" collapsed="false">
      <c r="A7" s="9" t="s">
        <v>279</v>
      </c>
      <c r="B7" s="12" t="n">
        <f aca="false">COUNTIFS(MATRIZ_EXIGIBILIDADE!$B$2:$B$177,"BNB",MATRIZ_EXIGIBILIDADE!$F$2:$F$177,$A7)</f>
        <v>0</v>
      </c>
      <c r="C7" s="12" t="n">
        <f aca="false">COUNTIFS(MATRIZ_EXIGIBILIDADE!$B$2:$B$177,"CEF",MATRIZ_EXIGIBILIDADE!$F$2:$F$177,$A7)</f>
        <v>5</v>
      </c>
      <c r="D7" s="12" t="n">
        <f aca="false">COUNTIFS(MATRIZ_EXIGIBILIDADE!$B$2:$B$177,"DOCAS",MATRIZ_EXIGIBILIDADE!$F$2:$F$177,$A7)</f>
        <v>2</v>
      </c>
      <c r="E7" s="12" t="n">
        <f aca="false">COUNTIFS(MATRIZ_EXIGIBILIDADE!$B$2:$B$177,"SEFAZ RS",MATRIZ_EXIGIBILIDADE!$F$2:$F$177,$A7)</f>
        <v>0</v>
      </c>
      <c r="F7" s="12" t="n">
        <f aca="false">COUNTIFS(MATRIZ_EXIGIBILIDADE!$B$2:$B$177,"SESCOOP",MATRIZ_EXIGIBILIDADE!$F$2:$F$177,$A7)</f>
        <v>6</v>
      </c>
      <c r="G7" s="12" t="n">
        <f aca="false">COUNTIFS(MATRIZ_EXIGIBILIDADE!$B$2:$B$177,"TERRACAP",MATRIZ_EXIGIBILIDADE!$F$2:$F$177,$A7)</f>
        <v>0</v>
      </c>
      <c r="H7" s="12" t="n">
        <f aca="false">COUNTIFS(MATRIZ_EXIGIBILIDADE!$B$2:$B$177,"TJ CE",MATRIZ_EXIGIBILIDADE!$F$2:$F$177,$A7)</f>
        <v>2</v>
      </c>
      <c r="I7" s="12" t="n">
        <f aca="false">COUNTIFS(MATRIZ_EXIGIBILIDADE!$B$2:$B$177,"Telebrás",MATRIZ_EXIGIBILIDADE!$F$2:$F$177,$A7)</f>
        <v>0</v>
      </c>
      <c r="J7" s="17" t="n">
        <f aca="false">SUM(B7:I7)</f>
        <v>15</v>
      </c>
    </row>
    <row r="8" customFormat="false" ht="15" hidden="false" customHeight="false" outlineLevel="0" collapsed="false">
      <c r="A8" s="9" t="s">
        <v>187</v>
      </c>
      <c r="B8" s="12" t="n">
        <f aca="false">COUNTIFS(MATRIZ_EXIGIBILIDADE!$B$2:$B$177,"BNB",MATRIZ_EXIGIBILIDADE!$F$2:$F$177,$A8)</f>
        <v>7</v>
      </c>
      <c r="C8" s="12" t="n">
        <f aca="false">COUNTIFS(MATRIZ_EXIGIBILIDADE!$B$2:$B$177,"CEF",MATRIZ_EXIGIBILIDADE!$F$2:$F$177,$A8)</f>
        <v>4</v>
      </c>
      <c r="D8" s="12" t="n">
        <f aca="false">COUNTIFS(MATRIZ_EXIGIBILIDADE!$B$2:$B$177,"DOCAS",MATRIZ_EXIGIBILIDADE!$F$2:$F$177,$A8)</f>
        <v>8</v>
      </c>
      <c r="E8" s="12" t="n">
        <f aca="false">COUNTIFS(MATRIZ_EXIGIBILIDADE!$B$2:$B$177,"SEFAZ RS",MATRIZ_EXIGIBILIDADE!$F$2:$F$177,$A8)</f>
        <v>7</v>
      </c>
      <c r="F8" s="12" t="n">
        <f aca="false">COUNTIFS(MATRIZ_EXIGIBILIDADE!$B$2:$B$177,"SESCOOP",MATRIZ_EXIGIBILIDADE!$F$2:$F$177,$A8)</f>
        <v>0</v>
      </c>
      <c r="G8" s="12" t="n">
        <f aca="false">COUNTIFS(MATRIZ_EXIGIBILIDADE!$B$2:$B$177,"TERRACAP",MATRIZ_EXIGIBILIDADE!$F$2:$F$177,$A8)</f>
        <v>7</v>
      </c>
      <c r="H8" s="12" t="n">
        <f aca="false">COUNTIFS(MATRIZ_EXIGIBILIDADE!$B$2:$B$177,"TJ CE",MATRIZ_EXIGIBILIDADE!$F$2:$F$177,$A8)</f>
        <v>7</v>
      </c>
      <c r="I8" s="12" t="n">
        <f aca="false">COUNTIFS(MATRIZ_EXIGIBILIDADE!$B$2:$B$177,"Telebrás",MATRIZ_EXIGIBILIDADE!$F$2:$F$177,$A8)</f>
        <v>7</v>
      </c>
      <c r="J8" s="17" t="n">
        <f aca="false">SUM(B8:I8)</f>
        <v>47</v>
      </c>
    </row>
    <row r="9" customFormat="false" ht="15" hidden="false" customHeight="false" outlineLevel="0" collapsed="false">
      <c r="A9" s="9" t="s">
        <v>233</v>
      </c>
      <c r="B9" s="12" t="n">
        <f aca="false">COUNTIFS(MATRIZ_EXIGIBILIDADE!$B$2:$B$177,"BNB",MATRIZ_EXIGIBILIDADE!$F$2:$F$177,$A9)</f>
        <v>2</v>
      </c>
      <c r="C9" s="12" t="n">
        <f aca="false">COUNTIFS(MATRIZ_EXIGIBILIDADE!$B$2:$B$177,"CEF",MATRIZ_EXIGIBILIDADE!$F$2:$F$177,$A9)</f>
        <v>6</v>
      </c>
      <c r="D9" s="12" t="n">
        <f aca="false">COUNTIFS(MATRIZ_EXIGIBILIDADE!$B$2:$B$177,"DOCAS",MATRIZ_EXIGIBILIDADE!$F$2:$F$177,$A9)</f>
        <v>2</v>
      </c>
      <c r="E9" s="12" t="n">
        <f aca="false">COUNTIFS(MATRIZ_EXIGIBILIDADE!$B$2:$B$177,"SEFAZ RS",MATRIZ_EXIGIBILIDADE!$F$2:$F$177,$A9)</f>
        <v>0</v>
      </c>
      <c r="F9" s="12" t="n">
        <f aca="false">COUNTIFS(MATRIZ_EXIGIBILIDADE!$B$2:$B$177,"SESCOOP",MATRIZ_EXIGIBILIDADE!$F$2:$F$177,$A9)</f>
        <v>4</v>
      </c>
      <c r="G9" s="12" t="n">
        <f aca="false">COUNTIFS(MATRIZ_EXIGIBILIDADE!$B$2:$B$177,"TERRACAP",MATRIZ_EXIGIBILIDADE!$F$2:$F$177,$A9)</f>
        <v>0</v>
      </c>
      <c r="H9" s="12" t="n">
        <f aca="false">COUNTIFS(MATRIZ_EXIGIBILIDADE!$B$2:$B$177,"TJ CE",MATRIZ_EXIGIBILIDADE!$F$2:$F$177,$A9)</f>
        <v>7</v>
      </c>
      <c r="I9" s="12" t="n">
        <f aca="false">COUNTIFS(MATRIZ_EXIGIBILIDADE!$B$2:$B$177,"Telebrás",MATRIZ_EXIGIBILIDADE!$F$2:$F$177,$A9)</f>
        <v>0</v>
      </c>
      <c r="J9" s="17" t="n">
        <f aca="false">SUM(B9:I9)</f>
        <v>21</v>
      </c>
    </row>
    <row r="10" customFormat="false" ht="15" hidden="false" customHeight="false" outlineLevel="0" collapsed="false">
      <c r="A10" s="9" t="s">
        <v>174</v>
      </c>
      <c r="B10" s="12" t="n">
        <f aca="false">COUNTIFS(MATRIZ_EXIGIBILIDADE!$B$2:$B$177,"BNB",MATRIZ_EXIGIBILIDADE!$F$2:$F$177,$A10)</f>
        <v>2</v>
      </c>
      <c r="C10" s="12" t="n">
        <f aca="false">COUNTIFS(MATRIZ_EXIGIBILIDADE!$B$2:$B$177,"CEF",MATRIZ_EXIGIBILIDADE!$F$2:$F$177,$A10)</f>
        <v>2</v>
      </c>
      <c r="D10" s="12" t="n">
        <f aca="false">COUNTIFS(MATRIZ_EXIGIBILIDADE!$B$2:$B$177,"DOCAS",MATRIZ_EXIGIBILIDADE!$F$2:$F$177,$A10)</f>
        <v>2</v>
      </c>
      <c r="E10" s="12" t="n">
        <f aca="false">COUNTIFS(MATRIZ_EXIGIBILIDADE!$B$2:$B$177,"SEFAZ RS",MATRIZ_EXIGIBILIDADE!$F$2:$F$177,$A10)</f>
        <v>2</v>
      </c>
      <c r="F10" s="12" t="n">
        <f aca="false">COUNTIFS(MATRIZ_EXIGIBILIDADE!$B$2:$B$177,"SESCOOP",MATRIZ_EXIGIBILIDADE!$F$2:$F$177,$A10)</f>
        <v>2</v>
      </c>
      <c r="G10" s="12" t="n">
        <f aca="false">COUNTIFS(MATRIZ_EXIGIBILIDADE!$B$2:$B$177,"TERRACAP",MATRIZ_EXIGIBILIDADE!$F$2:$F$177,$A10)</f>
        <v>2</v>
      </c>
      <c r="H10" s="12" t="n">
        <f aca="false">COUNTIFS(MATRIZ_EXIGIBILIDADE!$B$2:$B$177,"TJ CE",MATRIZ_EXIGIBILIDADE!$F$2:$F$177,$A10)</f>
        <v>2</v>
      </c>
      <c r="I10" s="12" t="n">
        <f aca="false">COUNTIFS(MATRIZ_EXIGIBILIDADE!$B$2:$B$177,"Telebrás",MATRIZ_EXIGIBILIDADE!$F$2:$F$177,$A10)</f>
        <v>3</v>
      </c>
      <c r="J10" s="17" t="n">
        <f aca="false">SUM(B10:I10)</f>
        <v>17</v>
      </c>
    </row>
    <row r="11" customFormat="false" ht="15" hidden="false" customHeight="false" outlineLevel="0" collapsed="false">
      <c r="A11" s="9" t="s">
        <v>212</v>
      </c>
      <c r="B11" s="12" t="n">
        <f aca="false">COUNTIFS(MATRIZ_EXIGIBILIDADE!$B$2:$B$177,"BNB",MATRIZ_EXIGIBILIDADE!$F$2:$F$177,$A11)</f>
        <v>3</v>
      </c>
      <c r="C11" s="12" t="n">
        <f aca="false">COUNTIFS(MATRIZ_EXIGIBILIDADE!$B$2:$B$177,"CEF",MATRIZ_EXIGIBILIDADE!$F$2:$F$177,$A11)</f>
        <v>2</v>
      </c>
      <c r="D11" s="12" t="n">
        <f aca="false">COUNTIFS(MATRIZ_EXIGIBILIDADE!$B$2:$B$177,"DOCAS",MATRIZ_EXIGIBILIDADE!$F$2:$F$177,$A11)</f>
        <v>3</v>
      </c>
      <c r="E11" s="12" t="n">
        <f aca="false">COUNTIFS(MATRIZ_EXIGIBILIDADE!$B$2:$B$177,"SEFAZ RS",MATRIZ_EXIGIBILIDADE!$F$2:$F$177,$A11)</f>
        <v>0</v>
      </c>
      <c r="F11" s="12" t="n">
        <f aca="false">COUNTIFS(MATRIZ_EXIGIBILIDADE!$B$2:$B$177,"SESCOOP",MATRIZ_EXIGIBILIDADE!$F$2:$F$177,$A11)</f>
        <v>3</v>
      </c>
      <c r="G11" s="12" t="n">
        <f aca="false">COUNTIFS(MATRIZ_EXIGIBILIDADE!$B$2:$B$177,"TERRACAP",MATRIZ_EXIGIBILIDADE!$F$2:$F$177,$A11)</f>
        <v>0</v>
      </c>
      <c r="H11" s="12" t="n">
        <f aca="false">COUNTIFS(MATRIZ_EXIGIBILIDADE!$B$2:$B$177,"TJ CE",MATRIZ_EXIGIBILIDADE!$F$2:$F$177,$A11)</f>
        <v>3</v>
      </c>
      <c r="I11" s="12" t="n">
        <f aca="false">COUNTIFS(MATRIZ_EXIGIBILIDADE!$B$2:$B$177,"Telebrás",MATRIZ_EXIGIBILIDADE!$F$2:$F$177,$A11)</f>
        <v>0</v>
      </c>
      <c r="J11" s="17" t="n">
        <f aca="false">SUM(B11:I11)</f>
        <v>14</v>
      </c>
    </row>
    <row r="12" customFormat="false" ht="15" hidden="false" customHeight="false" outlineLevel="0" collapsed="false">
      <c r="A12" s="9" t="s">
        <v>302</v>
      </c>
      <c r="B12" s="12" t="n">
        <f aca="false">COUNTIFS(MATRIZ_EXIGIBILIDADE!$B$2:$B$177,"BNB",MATRIZ_EXIGIBILIDADE!$F$2:$F$177,$A12)</f>
        <v>0</v>
      </c>
      <c r="C12" s="12" t="n">
        <f aca="false">COUNTIFS(MATRIZ_EXIGIBILIDADE!$B$2:$B$177,"CEF",MATRIZ_EXIGIBILIDADE!$F$2:$F$177,$A12)</f>
        <v>3</v>
      </c>
      <c r="D12" s="12" t="n">
        <f aca="false">COUNTIFS(MATRIZ_EXIGIBILIDADE!$B$2:$B$177,"DOCAS",MATRIZ_EXIGIBILIDADE!$F$2:$F$177,$A12)</f>
        <v>0</v>
      </c>
      <c r="E12" s="12" t="n">
        <f aca="false">COUNTIFS(MATRIZ_EXIGIBILIDADE!$B$2:$B$177,"SEFAZ RS",MATRIZ_EXIGIBILIDADE!$F$2:$F$177,$A12)</f>
        <v>0</v>
      </c>
      <c r="F12" s="12" t="n">
        <f aca="false">COUNTIFS(MATRIZ_EXIGIBILIDADE!$B$2:$B$177,"SESCOOP",MATRIZ_EXIGIBILIDADE!$F$2:$F$177,$A12)</f>
        <v>0</v>
      </c>
      <c r="G12" s="12" t="n">
        <f aca="false">COUNTIFS(MATRIZ_EXIGIBILIDADE!$B$2:$B$177,"TERRACAP",MATRIZ_EXIGIBILIDADE!$F$2:$F$177,$A12)</f>
        <v>0</v>
      </c>
      <c r="H12" s="12" t="n">
        <f aca="false">COUNTIFS(MATRIZ_EXIGIBILIDADE!$B$2:$B$177,"TJ CE",MATRIZ_EXIGIBILIDADE!$F$2:$F$177,$A12)</f>
        <v>5</v>
      </c>
      <c r="I12" s="12" t="n">
        <f aca="false">COUNTIFS(MATRIZ_EXIGIBILIDADE!$B$2:$B$177,"Telebrás",MATRIZ_EXIGIBILIDADE!$F$2:$F$177,$A12)</f>
        <v>0</v>
      </c>
      <c r="J12" s="17" t="n">
        <f aca="false">SUM(B12:I12)</f>
        <v>8</v>
      </c>
    </row>
    <row r="13" customFormat="false" ht="15" hidden="false" customHeight="false" outlineLevel="0" collapsed="false">
      <c r="A13" s="9" t="s">
        <v>257</v>
      </c>
      <c r="B13" s="12" t="n">
        <f aca="false">COUNTIFS(MATRIZ_EXIGIBILIDADE!$B$2:$B$177,"BNB",MATRIZ_EXIGIBILIDADE!$F$2:$F$177,$A13)</f>
        <v>2</v>
      </c>
      <c r="C13" s="12" t="n">
        <f aca="false">COUNTIFS(MATRIZ_EXIGIBILIDADE!$B$2:$B$177,"CEF",MATRIZ_EXIGIBILIDADE!$F$2:$F$177,$A13)</f>
        <v>4</v>
      </c>
      <c r="D13" s="12" t="n">
        <f aca="false">COUNTIFS(MATRIZ_EXIGIBILIDADE!$B$2:$B$177,"DOCAS",MATRIZ_EXIGIBILIDADE!$F$2:$F$177,$A13)</f>
        <v>2</v>
      </c>
      <c r="E13" s="12" t="n">
        <f aca="false">COUNTIFS(MATRIZ_EXIGIBILIDADE!$B$2:$B$177,"SEFAZ RS",MATRIZ_EXIGIBILIDADE!$F$2:$F$177,$A13)</f>
        <v>0</v>
      </c>
      <c r="F13" s="12" t="n">
        <f aca="false">COUNTIFS(MATRIZ_EXIGIBILIDADE!$B$2:$B$177,"SESCOOP",MATRIZ_EXIGIBILIDADE!$F$2:$F$177,$A13)</f>
        <v>4</v>
      </c>
      <c r="G13" s="12" t="n">
        <f aca="false">COUNTIFS(MATRIZ_EXIGIBILIDADE!$B$2:$B$177,"TERRACAP",MATRIZ_EXIGIBILIDADE!$F$2:$F$177,$A13)</f>
        <v>0</v>
      </c>
      <c r="H13" s="12" t="n">
        <f aca="false">COUNTIFS(MATRIZ_EXIGIBILIDADE!$B$2:$B$177,"TJ CE",MATRIZ_EXIGIBILIDADE!$F$2:$F$177,$A13)</f>
        <v>3</v>
      </c>
      <c r="I13" s="12" t="n">
        <f aca="false">COUNTIFS(MATRIZ_EXIGIBILIDADE!$B$2:$B$177,"Telebrás",MATRIZ_EXIGIBILIDADE!$F$2:$F$177,$A13)</f>
        <v>0</v>
      </c>
      <c r="J13" s="17" t="n">
        <f aca="false">SUM(B13:I13)</f>
        <v>15</v>
      </c>
    </row>
    <row r="14" customFormat="false" ht="15" hidden="false" customHeight="false" outlineLevel="0" collapsed="false">
      <c r="A14" s="9" t="s">
        <v>128</v>
      </c>
      <c r="B14" s="12" t="n">
        <f aca="false">COUNTIFS(MATRIZ_EXIGIBILIDADE!$B$2:$B$177,"BNB",MATRIZ_EXIGIBILIDADE!$F$2:$F$177,$A14)</f>
        <v>2</v>
      </c>
      <c r="C14" s="12" t="n">
        <f aca="false">COUNTIFS(MATRIZ_EXIGIBILIDADE!$B$2:$B$177,"CEF",MATRIZ_EXIGIBILIDADE!$F$2:$F$177,$A14)</f>
        <v>2</v>
      </c>
      <c r="D14" s="12" t="n">
        <f aca="false">COUNTIFS(MATRIZ_EXIGIBILIDADE!$B$2:$B$177,"DOCAS",MATRIZ_EXIGIBILIDADE!$F$2:$F$177,$A14)</f>
        <v>5</v>
      </c>
      <c r="E14" s="12" t="n">
        <f aca="false">COUNTIFS(MATRIZ_EXIGIBILIDADE!$B$2:$B$177,"SEFAZ RS",MATRIZ_EXIGIBILIDADE!$F$2:$F$177,$A14)</f>
        <v>2</v>
      </c>
      <c r="F14" s="12" t="n">
        <f aca="false">COUNTIFS(MATRIZ_EXIGIBILIDADE!$B$2:$B$177,"SESCOOP",MATRIZ_EXIGIBILIDADE!$F$2:$F$177,$A14)</f>
        <v>2</v>
      </c>
      <c r="G14" s="12" t="n">
        <f aca="false">COUNTIFS(MATRIZ_EXIGIBILIDADE!$B$2:$B$177,"TERRACAP",MATRIZ_EXIGIBILIDADE!$F$2:$F$177,$A14)</f>
        <v>3</v>
      </c>
      <c r="H14" s="12" t="n">
        <f aca="false">COUNTIFS(MATRIZ_EXIGIBILIDADE!$B$2:$B$177,"TJ CE",MATRIZ_EXIGIBILIDADE!$F$2:$F$177,$A14)</f>
        <v>4</v>
      </c>
      <c r="I14" s="12" t="n">
        <f aca="false">COUNTIFS(MATRIZ_EXIGIBILIDADE!$B$2:$B$177,"Telebrás",MATRIZ_EXIGIBILIDADE!$F$2:$F$177,$A14)</f>
        <v>2</v>
      </c>
      <c r="J14" s="17" t="n">
        <f aca="false">SUM(B14:I14)</f>
        <v>22</v>
      </c>
    </row>
    <row r="15" customFormat="false" ht="15" hidden="false" customHeight="false" outlineLevel="0" collapsed="false">
      <c r="A15" s="9" t="s">
        <v>249</v>
      </c>
      <c r="B15" s="12" t="n">
        <f aca="false">COUNTIFS(MATRIZ_EXIGIBILIDADE!$B$2:$B$177,"BNB",MATRIZ_EXIGIBILIDADE!$F$2:$F$177,$A15)</f>
        <v>0</v>
      </c>
      <c r="C15" s="12" t="n">
        <f aca="false">COUNTIFS(MATRIZ_EXIGIBILIDADE!$B$2:$B$177,"CEF",MATRIZ_EXIGIBILIDADE!$F$2:$F$177,$A15)</f>
        <v>5</v>
      </c>
      <c r="D15" s="12" t="n">
        <f aca="false">COUNTIFS(MATRIZ_EXIGIBILIDADE!$B$2:$B$177,"DOCAS",MATRIZ_EXIGIBILIDADE!$F$2:$F$177,$A15)</f>
        <v>0</v>
      </c>
      <c r="E15" s="12" t="n">
        <f aca="false">COUNTIFS(MATRIZ_EXIGIBILIDADE!$B$2:$B$177,"SEFAZ RS",MATRIZ_EXIGIBILIDADE!$F$2:$F$177,$A15)</f>
        <v>0</v>
      </c>
      <c r="F15" s="12" t="n">
        <f aca="false">COUNTIFS(MATRIZ_EXIGIBILIDADE!$B$2:$B$177,"SESCOOP",MATRIZ_EXIGIBILIDADE!$F$2:$F$177,$A15)</f>
        <v>3</v>
      </c>
      <c r="G15" s="12" t="n">
        <f aca="false">COUNTIFS(MATRIZ_EXIGIBILIDADE!$B$2:$B$177,"TERRACAP",MATRIZ_EXIGIBILIDADE!$F$2:$F$177,$A15)</f>
        <v>0</v>
      </c>
      <c r="H15" s="12" t="n">
        <f aca="false">COUNTIFS(MATRIZ_EXIGIBILIDADE!$B$2:$B$177,"TJ CE",MATRIZ_EXIGIBILIDADE!$F$2:$F$177,$A15)</f>
        <v>5</v>
      </c>
      <c r="I15" s="12" t="n">
        <f aca="false">COUNTIFS(MATRIZ_EXIGIBILIDADE!$B$2:$B$177,"Telebrás",MATRIZ_EXIGIBILIDADE!$F$2:$F$177,$A15)</f>
        <v>0</v>
      </c>
      <c r="J15" s="17" t="n">
        <f aca="false">SUM(B15:I15)</f>
        <v>13</v>
      </c>
    </row>
    <row r="16" customFormat="false" ht="15" hidden="false" customHeight="false" outlineLevel="0" collapsed="false">
      <c r="A16" s="2" t="s">
        <v>725</v>
      </c>
      <c r="B16" s="17" t="n">
        <f aca="false">SUM(B5:B15)</f>
        <v>18</v>
      </c>
      <c r="C16" s="17" t="n">
        <f aca="false">SUM(C5:C15)</f>
        <v>34</v>
      </c>
      <c r="D16" s="17" t="n">
        <f aca="false">SUM(D5:D15)</f>
        <v>24</v>
      </c>
      <c r="E16" s="17" t="n">
        <f aca="false">SUM(E5:E15)</f>
        <v>11</v>
      </c>
      <c r="F16" s="17" t="n">
        <f aca="false">SUM(F5:F15)</f>
        <v>24</v>
      </c>
      <c r="G16" s="17" t="n">
        <f aca="false">SUM(G5:G15)</f>
        <v>12</v>
      </c>
      <c r="H16" s="17" t="n">
        <f aca="false">SUM(H5:H15)</f>
        <v>41</v>
      </c>
      <c r="I16" s="17" t="n">
        <f aca="false">SUM(I5:I15)</f>
        <v>12</v>
      </c>
      <c r="J16" s="17" t="n">
        <f aca="false">SUM(J5:J15)</f>
        <v>176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58"/>
    <col collapsed="false" customWidth="true" hidden="false" outlineLevel="0" max="4" min="4" style="0" width="34"/>
    <col collapsed="false" customWidth="true" hidden="false" outlineLevel="0" max="5" min="5" style="0" width="24"/>
    <col collapsed="false" customWidth="true" hidden="false" outlineLevel="0" max="6" min="6" style="0" width="22"/>
    <col collapsed="false" customWidth="true" hidden="false" outlineLevel="0" max="7" min="7" style="0" width="26"/>
  </cols>
  <sheetData>
    <row r="1" customFormat="false" ht="23.85" hidden="false" customHeight="false" outlineLevel="0" collapsed="false">
      <c r="A1" s="8" t="s">
        <v>31</v>
      </c>
      <c r="B1" s="8" t="s">
        <v>726</v>
      </c>
      <c r="C1" s="8" t="s">
        <v>727</v>
      </c>
      <c r="D1" s="8" t="s">
        <v>728</v>
      </c>
      <c r="E1" s="8" t="s">
        <v>32</v>
      </c>
      <c r="F1" s="8" t="s">
        <v>729</v>
      </c>
      <c r="G1" s="8" t="s">
        <v>730</v>
      </c>
    </row>
    <row r="2" customFormat="false" ht="30" hidden="false" customHeight="true" outlineLevel="0" collapsed="false">
      <c r="A2" s="9" t="s">
        <v>731</v>
      </c>
      <c r="B2" s="3" t="s">
        <v>732</v>
      </c>
      <c r="C2" s="3" t="s">
        <v>733</v>
      </c>
      <c r="D2" s="3" t="s">
        <v>734</v>
      </c>
      <c r="E2" s="3" t="s">
        <v>133</v>
      </c>
      <c r="F2" s="11"/>
      <c r="G2" s="11"/>
    </row>
    <row r="3" customFormat="false" ht="30" hidden="false" customHeight="true" outlineLevel="0" collapsed="false">
      <c r="A3" s="9" t="s">
        <v>735</v>
      </c>
      <c r="B3" s="3" t="s">
        <v>736</v>
      </c>
      <c r="C3" s="3" t="s">
        <v>737</v>
      </c>
      <c r="D3" s="3" t="s">
        <v>738</v>
      </c>
      <c r="E3" s="3" t="s">
        <v>133</v>
      </c>
      <c r="F3" s="11"/>
      <c r="G3" s="11"/>
    </row>
    <row r="4" customFormat="false" ht="30" hidden="false" customHeight="true" outlineLevel="0" collapsed="false">
      <c r="A4" s="9" t="s">
        <v>739</v>
      </c>
      <c r="B4" s="3" t="s">
        <v>740</v>
      </c>
      <c r="C4" s="3" t="s">
        <v>741</v>
      </c>
      <c r="D4" s="3" t="s">
        <v>742</v>
      </c>
      <c r="E4" s="3" t="s">
        <v>133</v>
      </c>
      <c r="F4" s="11"/>
      <c r="G4" s="11"/>
    </row>
    <row r="5" customFormat="false" ht="30" hidden="false" customHeight="true" outlineLevel="0" collapsed="false">
      <c r="A5" s="9" t="s">
        <v>743</v>
      </c>
      <c r="B5" s="3" t="s">
        <v>744</v>
      </c>
      <c r="C5" s="3" t="s">
        <v>745</v>
      </c>
      <c r="D5" s="3" t="s">
        <v>746</v>
      </c>
      <c r="E5" s="3" t="s">
        <v>133</v>
      </c>
      <c r="F5" s="11"/>
      <c r="G5" s="11"/>
    </row>
    <row r="6" customFormat="false" ht="30" hidden="false" customHeight="true" outlineLevel="0" collapsed="false">
      <c r="A6" s="9" t="s">
        <v>747</v>
      </c>
      <c r="B6" s="3" t="s">
        <v>748</v>
      </c>
      <c r="C6" s="3" t="s">
        <v>749</v>
      </c>
      <c r="D6" s="3" t="s">
        <v>750</v>
      </c>
      <c r="E6" s="3" t="s">
        <v>133</v>
      </c>
      <c r="F6" s="11"/>
      <c r="G6" s="11"/>
    </row>
    <row r="7" customFormat="false" ht="30" hidden="false" customHeight="true" outlineLevel="0" collapsed="false">
      <c r="A7" s="9" t="s">
        <v>751</v>
      </c>
      <c r="B7" s="3" t="s">
        <v>752</v>
      </c>
      <c r="C7" s="3" t="s">
        <v>753</v>
      </c>
      <c r="D7" s="3" t="s">
        <v>754</v>
      </c>
      <c r="E7" s="3" t="s">
        <v>133</v>
      </c>
      <c r="F7" s="11"/>
      <c r="G7" s="11"/>
    </row>
    <row r="8" customFormat="false" ht="30" hidden="false" customHeight="true" outlineLevel="0" collapsed="false">
      <c r="A8" s="9" t="s">
        <v>755</v>
      </c>
      <c r="B8" s="3" t="s">
        <v>756</v>
      </c>
      <c r="C8" s="3" t="s">
        <v>757</v>
      </c>
      <c r="D8" s="3" t="s">
        <v>758</v>
      </c>
      <c r="E8" s="3" t="s">
        <v>133</v>
      </c>
      <c r="F8" s="11"/>
      <c r="G8" s="11"/>
    </row>
    <row r="9" customFormat="false" ht="30" hidden="false" customHeight="true" outlineLevel="0" collapsed="false">
      <c r="A9" s="9" t="s">
        <v>759</v>
      </c>
      <c r="B9" s="3" t="s">
        <v>760</v>
      </c>
      <c r="C9" s="3" t="s">
        <v>761</v>
      </c>
      <c r="D9" s="3" t="s">
        <v>762</v>
      </c>
      <c r="E9" s="3" t="s">
        <v>133</v>
      </c>
      <c r="F9" s="11"/>
      <c r="G9" s="11"/>
    </row>
    <row r="10" customFormat="false" ht="30" hidden="false" customHeight="true" outlineLevel="0" collapsed="false">
      <c r="A10" s="9" t="s">
        <v>763</v>
      </c>
      <c r="B10" s="3" t="s">
        <v>764</v>
      </c>
      <c r="C10" s="3" t="s">
        <v>765</v>
      </c>
      <c r="D10" s="3" t="s">
        <v>766</v>
      </c>
      <c r="E10" s="3" t="s">
        <v>133</v>
      </c>
      <c r="F10" s="11"/>
      <c r="G10" s="11"/>
    </row>
    <row r="11" customFormat="false" ht="30" hidden="false" customHeight="true" outlineLevel="0" collapsed="false">
      <c r="A11" s="9" t="s">
        <v>767</v>
      </c>
      <c r="B11" s="3" t="s">
        <v>768</v>
      </c>
      <c r="C11" s="3" t="s">
        <v>769</v>
      </c>
      <c r="D11" s="3" t="s">
        <v>770</v>
      </c>
      <c r="E11" s="3" t="s">
        <v>133</v>
      </c>
      <c r="F11" s="11"/>
      <c r="G11" s="11"/>
    </row>
    <row r="12" customFormat="false" ht="30" hidden="false" customHeight="true" outlineLevel="0" collapsed="false">
      <c r="A12" s="9" t="s">
        <v>771</v>
      </c>
      <c r="B12" s="3" t="s">
        <v>772</v>
      </c>
      <c r="C12" s="3" t="s">
        <v>773</v>
      </c>
      <c r="D12" s="3" t="s">
        <v>774</v>
      </c>
      <c r="E12" s="3" t="s">
        <v>133</v>
      </c>
      <c r="F12" s="11"/>
      <c r="G12" s="11"/>
    </row>
    <row r="13" customFormat="false" ht="30" hidden="false" customHeight="true" outlineLevel="0" collapsed="false">
      <c r="A13" s="9" t="s">
        <v>775</v>
      </c>
      <c r="B13" s="3" t="s">
        <v>776</v>
      </c>
      <c r="C13" s="3" t="s">
        <v>777</v>
      </c>
      <c r="D13" s="3" t="s">
        <v>778</v>
      </c>
      <c r="E13" s="3" t="s">
        <v>779</v>
      </c>
      <c r="F13" s="11"/>
      <c r="G13"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6"/>
    <col collapsed="false" customWidth="true" hidden="false" outlineLevel="0" max="3" min="3" style="0" width="50"/>
    <col collapsed="false" customWidth="true" hidden="false" outlineLevel="0" max="4" min="4" style="0" width="20"/>
    <col collapsed="false" customWidth="true" hidden="false" outlineLevel="0" max="5" min="5" style="0" width="54"/>
  </cols>
  <sheetData>
    <row r="1" customFormat="false" ht="15" hidden="false" customHeight="false" outlineLevel="0" collapsed="false">
      <c r="A1" s="8" t="s">
        <v>31</v>
      </c>
      <c r="B1" s="8" t="s">
        <v>780</v>
      </c>
      <c r="C1" s="8" t="s">
        <v>781</v>
      </c>
      <c r="D1" s="8" t="s">
        <v>782</v>
      </c>
      <c r="E1" s="8" t="s">
        <v>783</v>
      </c>
    </row>
    <row r="2" customFormat="false" ht="30" hidden="false" customHeight="true" outlineLevel="0" collapsed="false">
      <c r="A2" s="9" t="s">
        <v>784</v>
      </c>
      <c r="B2" s="9" t="s">
        <v>119</v>
      </c>
      <c r="C2" s="3" t="s">
        <v>785</v>
      </c>
      <c r="D2" s="3" t="s">
        <v>786</v>
      </c>
      <c r="E2" s="3" t="s">
        <v>787</v>
      </c>
    </row>
    <row r="3" customFormat="false" ht="30" hidden="false" customHeight="true" outlineLevel="0" collapsed="false">
      <c r="A3" s="9" t="s">
        <v>788</v>
      </c>
      <c r="B3" s="9" t="s">
        <v>118</v>
      </c>
      <c r="C3" s="3" t="s">
        <v>789</v>
      </c>
      <c r="D3" s="3" t="s">
        <v>786</v>
      </c>
      <c r="E3" s="3" t="s">
        <v>790</v>
      </c>
    </row>
    <row r="4" customFormat="false" ht="30" hidden="false" customHeight="true" outlineLevel="0" collapsed="false">
      <c r="A4" s="9" t="s">
        <v>791</v>
      </c>
      <c r="B4" s="9" t="s">
        <v>329</v>
      </c>
      <c r="C4" s="3" t="s">
        <v>792</v>
      </c>
      <c r="D4" s="3" t="s">
        <v>793</v>
      </c>
      <c r="E4" s="3" t="s">
        <v>794</v>
      </c>
    </row>
    <row r="5" customFormat="false" ht="30" hidden="false" customHeight="true" outlineLevel="0" collapsed="false">
      <c r="A5" s="9" t="s">
        <v>795</v>
      </c>
      <c r="B5" s="9" t="s">
        <v>120</v>
      </c>
      <c r="C5" s="3" t="s">
        <v>796</v>
      </c>
      <c r="D5" s="3" t="s">
        <v>797</v>
      </c>
      <c r="E5" s="3" t="s">
        <v>798</v>
      </c>
    </row>
    <row r="6" customFormat="false" ht="30" hidden="false" customHeight="true" outlineLevel="0" collapsed="false">
      <c r="A6" s="9" t="s">
        <v>799</v>
      </c>
      <c r="B6" s="9" t="s">
        <v>800</v>
      </c>
      <c r="C6" s="3" t="s">
        <v>801</v>
      </c>
      <c r="D6" s="3" t="s">
        <v>802</v>
      </c>
      <c r="E6" s="3" t="s">
        <v>803</v>
      </c>
    </row>
    <row r="7" customFormat="false" ht="30" hidden="false" customHeight="true" outlineLevel="0" collapsed="false">
      <c r="A7" s="9" t="s">
        <v>804</v>
      </c>
      <c r="B7" s="9" t="s">
        <v>805</v>
      </c>
      <c r="C7" s="3" t="s">
        <v>806</v>
      </c>
      <c r="D7" s="3" t="s">
        <v>807</v>
      </c>
      <c r="E7" s="3" t="s">
        <v>808</v>
      </c>
    </row>
    <row r="8" customFormat="false" ht="30" hidden="false" customHeight="true" outlineLevel="0" collapsed="false">
      <c r="A8" s="9" t="s">
        <v>809</v>
      </c>
      <c r="B8" s="9" t="s">
        <v>810</v>
      </c>
      <c r="C8" s="3" t="s">
        <v>811</v>
      </c>
      <c r="D8" s="3" t="s">
        <v>812</v>
      </c>
      <c r="E8" s="3" t="s">
        <v>813</v>
      </c>
    </row>
    <row r="9" customFormat="false" ht="30" hidden="false" customHeight="true" outlineLevel="0" collapsed="false">
      <c r="A9" s="9" t="s">
        <v>814</v>
      </c>
      <c r="B9" s="9" t="s">
        <v>815</v>
      </c>
      <c r="C9" s="3" t="s">
        <v>816</v>
      </c>
      <c r="D9" s="3" t="s">
        <v>786</v>
      </c>
      <c r="E9" s="3" t="s">
        <v>817</v>
      </c>
    </row>
    <row r="10" customFormat="false" ht="30" hidden="false" customHeight="true" outlineLevel="0" collapsed="false">
      <c r="A10" s="9" t="s">
        <v>818</v>
      </c>
      <c r="B10" s="9" t="s">
        <v>819</v>
      </c>
      <c r="C10" s="3" t="s">
        <v>820</v>
      </c>
      <c r="D10" s="3" t="s">
        <v>821</v>
      </c>
      <c r="E10" s="3" t="s">
        <v>822</v>
      </c>
    </row>
    <row r="11" customFormat="false" ht="30" hidden="false" customHeight="true" outlineLevel="0" collapsed="false">
      <c r="A11" s="9" t="s">
        <v>823</v>
      </c>
      <c r="B11" s="9" t="s">
        <v>824</v>
      </c>
      <c r="C11" s="3" t="s">
        <v>825</v>
      </c>
      <c r="D11" s="3" t="s">
        <v>826</v>
      </c>
      <c r="E11" s="3" t="s">
        <v>827</v>
      </c>
    </row>
    <row r="12" customFormat="false" ht="30" hidden="false" customHeight="true" outlineLevel="0" collapsed="false">
      <c r="A12" s="9" t="s">
        <v>828</v>
      </c>
      <c r="B12" s="9" t="s">
        <v>829</v>
      </c>
      <c r="C12" s="3" t="s">
        <v>830</v>
      </c>
      <c r="D12" s="3" t="s">
        <v>831</v>
      </c>
      <c r="E12" s="3" t="s">
        <v>832</v>
      </c>
    </row>
    <row r="13" customFormat="false" ht="30" hidden="false" customHeight="true" outlineLevel="0" collapsed="false">
      <c r="A13" s="9" t="s">
        <v>833</v>
      </c>
      <c r="B13" s="9" t="s">
        <v>834</v>
      </c>
      <c r="C13" s="3" t="s">
        <v>835</v>
      </c>
      <c r="D13" s="3" t="s">
        <v>836</v>
      </c>
      <c r="E13" s="3" t="s">
        <v>837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2026-09-02T17:54:51Z</dcterms:created>
  <dc:creator>openpyxl</dc:creator>
  <dc:description/>
  <dc:language>en-US</dc:language>
  <cp:lastModifiedBy/>
  <dcterms:modified xsi:type="dcterms:W3CDTF">2026-09-02T17:54:51Z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